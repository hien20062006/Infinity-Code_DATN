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Ự ÁN TỐT NGHIỆPInfinity-Code_DATN\httpsgithub.comhien20062006Infinity-Code_DATN.git\du_lieu_cuoi\DA3\"/>
    </mc:Choice>
  </mc:AlternateContent>
  <xr:revisionPtr revIDLastSave="0" documentId="13_ncr:1_{76D2EE84-49E7-4D86-8876-7E4AEB647A8E}" xr6:coauthVersionLast="47" xr6:coauthVersionMax="47" xr10:uidLastSave="{00000000-0000-0000-0000-000000000000}"/>
  <bookViews>
    <workbookView xWindow="-120" yWindow="-120" windowWidth="38640" windowHeight="21840" xr2:uid="{536C51A9-58C5-46D4-AFAF-61A74C3BD7C6}"/>
  </bookViews>
  <sheets>
    <sheet name="hang_viet_n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2" i="1"/>
</calcChain>
</file>

<file path=xl/sharedStrings.xml><?xml version="1.0" encoding="utf-8"?>
<sst xmlns="http://schemas.openxmlformats.org/spreadsheetml/2006/main" count="4978" uniqueCount="1319">
  <si>
    <t>Date</t>
  </si>
  <si>
    <t>Apple</t>
  </si>
  <si>
    <t>Samsung</t>
  </si>
  <si>
    <t>Oppo</t>
  </si>
  <si>
    <t>Xiaomi</t>
  </si>
  <si>
    <t>Vivo</t>
  </si>
  <si>
    <t>Nokia</t>
  </si>
  <si>
    <t>Realme</t>
  </si>
  <si>
    <t>Unknown</t>
  </si>
  <si>
    <t>Huawei</t>
  </si>
  <si>
    <t>Sony</t>
  </si>
  <si>
    <t>Vsmart</t>
  </si>
  <si>
    <t>LG</t>
  </si>
  <si>
    <t>Asus</t>
  </si>
  <si>
    <t>HTC</t>
  </si>
  <si>
    <t>Lenovo</t>
  </si>
  <si>
    <t>Google</t>
  </si>
  <si>
    <t>Tecno</t>
  </si>
  <si>
    <t>RIM</t>
  </si>
  <si>
    <t>Motorola</t>
  </si>
  <si>
    <t>BBK</t>
  </si>
  <si>
    <t>Itel</t>
  </si>
  <si>
    <t>Mobicel</t>
  </si>
  <si>
    <t>Pantech</t>
  </si>
  <si>
    <t>Honor</t>
  </si>
  <si>
    <t>OnePlus</t>
  </si>
  <si>
    <t>ZTE</t>
  </si>
  <si>
    <t>Wiko</t>
  </si>
  <si>
    <t>Infinix</t>
  </si>
  <si>
    <t>Alcatel</t>
  </si>
  <si>
    <t>Sharp</t>
  </si>
  <si>
    <t>Acer</t>
  </si>
  <si>
    <t>Meizu</t>
  </si>
  <si>
    <t>Coolpad</t>
  </si>
  <si>
    <t>Other</t>
  </si>
  <si>
    <t>2010-04</t>
  </si>
  <si>
    <t>10.9</t>
  </si>
  <si>
    <t>2.58</t>
  </si>
  <si>
    <t>77.99</t>
  </si>
  <si>
    <t>4.25</t>
  </si>
  <si>
    <t>0.3</t>
  </si>
  <si>
    <t>0.08</t>
  </si>
  <si>
    <t>0.22</t>
  </si>
  <si>
    <t>2.9</t>
  </si>
  <si>
    <t>0.45</t>
  </si>
  <si>
    <t>0.33</t>
  </si>
  <si>
    <t>2010-05</t>
  </si>
  <si>
    <t>12.6</t>
  </si>
  <si>
    <t>3.21</t>
  </si>
  <si>
    <t>75.81</t>
  </si>
  <si>
    <t>4.57</t>
  </si>
  <si>
    <t>0.28</t>
  </si>
  <si>
    <t>0.03</t>
  </si>
  <si>
    <t>0.18</t>
  </si>
  <si>
    <t>2.66</t>
  </si>
  <si>
    <t>0.42</t>
  </si>
  <si>
    <t>0.24</t>
  </si>
  <si>
    <t>2010-06</t>
  </si>
  <si>
    <t>10.65</t>
  </si>
  <si>
    <t>3.32</t>
  </si>
  <si>
    <t>77.72</t>
  </si>
  <si>
    <t>4.45</t>
  </si>
  <si>
    <t>0.36</t>
  </si>
  <si>
    <t>0.01</t>
  </si>
  <si>
    <t>0.1</t>
  </si>
  <si>
    <t>2.88</t>
  </si>
  <si>
    <t>0.19</t>
  </si>
  <si>
    <t>2010-07</t>
  </si>
  <si>
    <t>12.04</t>
  </si>
  <si>
    <t>3.27</t>
  </si>
  <si>
    <t>77.2</t>
  </si>
  <si>
    <t>4.14</t>
  </si>
  <si>
    <t>0.39</t>
  </si>
  <si>
    <t>0.14</t>
  </si>
  <si>
    <t>2.23</t>
  </si>
  <si>
    <t>0.29</t>
  </si>
  <si>
    <t>0.26</t>
  </si>
  <si>
    <t>2010-08</t>
  </si>
  <si>
    <t>13.01</t>
  </si>
  <si>
    <t>3.37</t>
  </si>
  <si>
    <t>76.17</t>
  </si>
  <si>
    <t>3.96</t>
  </si>
  <si>
    <t>2.41</t>
  </si>
  <si>
    <t>2010-09</t>
  </si>
  <si>
    <t>13.96</t>
  </si>
  <si>
    <t>3.24</t>
  </si>
  <si>
    <t>75.83</t>
  </si>
  <si>
    <t>3.8</t>
  </si>
  <si>
    <t>0.13</t>
  </si>
  <si>
    <t>2.27</t>
  </si>
  <si>
    <t>0.31</t>
  </si>
  <si>
    <t>0.16</t>
  </si>
  <si>
    <t>2010-10</t>
  </si>
  <si>
    <t>14.04</t>
  </si>
  <si>
    <t>3.17</t>
  </si>
  <si>
    <t>75.73</t>
  </si>
  <si>
    <t>1.95</t>
  </si>
  <si>
    <t>0.53</t>
  </si>
  <si>
    <t>2010-11</t>
  </si>
  <si>
    <t>14.64</t>
  </si>
  <si>
    <t>3.31</t>
  </si>
  <si>
    <t>75.87</t>
  </si>
  <si>
    <t>3.43</t>
  </si>
  <si>
    <t>0.27</t>
  </si>
  <si>
    <t>0.11</t>
  </si>
  <si>
    <t>1.97</t>
  </si>
  <si>
    <t>0.2</t>
  </si>
  <si>
    <t>0.15</t>
  </si>
  <si>
    <t>2010-12</t>
  </si>
  <si>
    <t>16.39</t>
  </si>
  <si>
    <t>4.2</t>
  </si>
  <si>
    <t>73.17</t>
  </si>
  <si>
    <t>3.51</t>
  </si>
  <si>
    <t>0.02</t>
  </si>
  <si>
    <t>2.02</t>
  </si>
  <si>
    <t>2011-01</t>
  </si>
  <si>
    <t>17.63</t>
  </si>
  <si>
    <t>3.83</t>
  </si>
  <si>
    <t>72.8</t>
  </si>
  <si>
    <t>0.07</t>
  </si>
  <si>
    <t>0.09</t>
  </si>
  <si>
    <t>1.86</t>
  </si>
  <si>
    <t>2011-02</t>
  </si>
  <si>
    <t>4.11</t>
  </si>
  <si>
    <t>74.09</t>
  </si>
  <si>
    <t>3.33</t>
  </si>
  <si>
    <t>0.25</t>
  </si>
  <si>
    <t>1.81</t>
  </si>
  <si>
    <t>0.12</t>
  </si>
  <si>
    <t>2011-03</t>
  </si>
  <si>
    <t>18.64</t>
  </si>
  <si>
    <t>4.32</t>
  </si>
  <si>
    <t>71.57</t>
  </si>
  <si>
    <t>3.13</t>
  </si>
  <si>
    <t>0.23</t>
  </si>
  <si>
    <t>1.69</t>
  </si>
  <si>
    <t>2011-04</t>
  </si>
  <si>
    <t>22.5</t>
  </si>
  <si>
    <t>4.52</t>
  </si>
  <si>
    <t>67.38</t>
  </si>
  <si>
    <t>1.8</t>
  </si>
  <si>
    <t>2011-05</t>
  </si>
  <si>
    <t>24.01</t>
  </si>
  <si>
    <t>5.3</t>
  </si>
  <si>
    <t>65.12</t>
  </si>
  <si>
    <t>3.19</t>
  </si>
  <si>
    <t>1.64</t>
  </si>
  <si>
    <t>2011-06</t>
  </si>
  <si>
    <t>22.55</t>
  </si>
  <si>
    <t>5.08</t>
  </si>
  <si>
    <t>67.29</t>
  </si>
  <si>
    <t>2.83</t>
  </si>
  <si>
    <t>0.17</t>
  </si>
  <si>
    <t>1.58</t>
  </si>
  <si>
    <t>2011-07</t>
  </si>
  <si>
    <t>24.78</t>
  </si>
  <si>
    <t>5.88</t>
  </si>
  <si>
    <t>64.45</t>
  </si>
  <si>
    <t>2.67</t>
  </si>
  <si>
    <t>1.47</t>
  </si>
  <si>
    <t>2011-08</t>
  </si>
  <si>
    <t>23.08</t>
  </si>
  <si>
    <t>6.33</t>
  </si>
  <si>
    <t>65.71</t>
  </si>
  <si>
    <t>1.49</t>
  </si>
  <si>
    <t>2011-09</t>
  </si>
  <si>
    <t>23.6</t>
  </si>
  <si>
    <t>6.79</t>
  </si>
  <si>
    <t>64.85</t>
  </si>
  <si>
    <t>2.57</t>
  </si>
  <si>
    <t>1.43</t>
  </si>
  <si>
    <t>0.06</t>
  </si>
  <si>
    <t>2011-10</t>
  </si>
  <si>
    <t>22.57</t>
  </si>
  <si>
    <t>7.31</t>
  </si>
  <si>
    <t>62.71</t>
  </si>
  <si>
    <t>2.79</t>
  </si>
  <si>
    <t>0.67</t>
  </si>
  <si>
    <t>2.06</t>
  </si>
  <si>
    <t>1.59</t>
  </si>
  <si>
    <t>2011-11</t>
  </si>
  <si>
    <t>18.69</t>
  </si>
  <si>
    <t>6.62</t>
  </si>
  <si>
    <t>68.14</t>
  </si>
  <si>
    <t>2.34</t>
  </si>
  <si>
    <t>0.76</t>
  </si>
  <si>
    <t>1.82</t>
  </si>
  <si>
    <t>1.39</t>
  </si>
  <si>
    <t>0.04</t>
  </si>
  <si>
    <t>2011-12</t>
  </si>
  <si>
    <t>13.26</t>
  </si>
  <si>
    <t>5.73</t>
  </si>
  <si>
    <t>76.39</t>
  </si>
  <si>
    <t>0.51</t>
  </si>
  <si>
    <t>1.18</t>
  </si>
  <si>
    <t>0.73</t>
  </si>
  <si>
    <t>2012-01</t>
  </si>
  <si>
    <t>12.38</t>
  </si>
  <si>
    <t>77.44</t>
  </si>
  <si>
    <t>1.99</t>
  </si>
  <si>
    <t>1.11</t>
  </si>
  <si>
    <t>0.65</t>
  </si>
  <si>
    <t>2012-02</t>
  </si>
  <si>
    <t>29.68</t>
  </si>
  <si>
    <t>4.97</t>
  </si>
  <si>
    <t>61.61</t>
  </si>
  <si>
    <t>1.56</t>
  </si>
  <si>
    <t>0.43</t>
  </si>
  <si>
    <t>1.06</t>
  </si>
  <si>
    <t>2012-03</t>
  </si>
  <si>
    <t>31.48</t>
  </si>
  <si>
    <t>4.78</t>
  </si>
  <si>
    <t>53.96</t>
  </si>
  <si>
    <t>6.21</t>
  </si>
  <si>
    <t>1.45</t>
  </si>
  <si>
    <t>0.96</t>
  </si>
  <si>
    <t>0.05</t>
  </si>
  <si>
    <t>0.58</t>
  </si>
  <si>
    <t>2012-04</t>
  </si>
  <si>
    <t>29.95</t>
  </si>
  <si>
    <t>5.39</t>
  </si>
  <si>
    <t>49.34</t>
  </si>
  <si>
    <t>11.27</t>
  </si>
  <si>
    <t>1.51</t>
  </si>
  <si>
    <t>0.47</t>
  </si>
  <si>
    <t>1.26</t>
  </si>
  <si>
    <t>0.61</t>
  </si>
  <si>
    <t>2012-05</t>
  </si>
  <si>
    <t>34.27</t>
  </si>
  <si>
    <t>5.26</t>
  </si>
  <si>
    <t>47.26</t>
  </si>
  <si>
    <t>9.11</t>
  </si>
  <si>
    <t>1.35</t>
  </si>
  <si>
    <t>1.21</t>
  </si>
  <si>
    <t>0.49</t>
  </si>
  <si>
    <t>2012-06</t>
  </si>
  <si>
    <t>73.13</t>
  </si>
  <si>
    <t>2.53</t>
  </si>
  <si>
    <t>19.79</t>
  </si>
  <si>
    <t>2.64</t>
  </si>
  <si>
    <t>0.64</t>
  </si>
  <si>
    <t>0.34</t>
  </si>
  <si>
    <t>0.55</t>
  </si>
  <si>
    <t>2012-07</t>
  </si>
  <si>
    <t>73.69</t>
  </si>
  <si>
    <t>2.74</t>
  </si>
  <si>
    <t>18.96</t>
  </si>
  <si>
    <t>2.54</t>
  </si>
  <si>
    <t>0.68</t>
  </si>
  <si>
    <t>0.59</t>
  </si>
  <si>
    <t>2012-08</t>
  </si>
  <si>
    <t>47.31</t>
  </si>
  <si>
    <t>5.24</t>
  </si>
  <si>
    <t>38.86</t>
  </si>
  <si>
    <t>4.94</t>
  </si>
  <si>
    <t>0.87</t>
  </si>
  <si>
    <t>0.97</t>
  </si>
  <si>
    <t>0.32</t>
  </si>
  <si>
    <t>2012-09</t>
  </si>
  <si>
    <t>39.64</t>
  </si>
  <si>
    <t>6.5</t>
  </si>
  <si>
    <t>43.17</t>
  </si>
  <si>
    <t>6.14</t>
  </si>
  <si>
    <t>1.5</t>
  </si>
  <si>
    <t>1.04</t>
  </si>
  <si>
    <t>2012-10</t>
  </si>
  <si>
    <t>38.59</t>
  </si>
  <si>
    <t>7.39</t>
  </si>
  <si>
    <t>42.28</t>
  </si>
  <si>
    <t>6.66</t>
  </si>
  <si>
    <t>1.22</t>
  </si>
  <si>
    <t>1.4</t>
  </si>
  <si>
    <t>2012-11</t>
  </si>
  <si>
    <t>36.07</t>
  </si>
  <si>
    <t>7.65</t>
  </si>
  <si>
    <t>43.35</t>
  </si>
  <si>
    <t>7.62</t>
  </si>
  <si>
    <t>1.65</t>
  </si>
  <si>
    <t>1.42</t>
  </si>
  <si>
    <t>1.34</t>
  </si>
  <si>
    <t>2012-12</t>
  </si>
  <si>
    <t>35.43</t>
  </si>
  <si>
    <t>9.72</t>
  </si>
  <si>
    <t>40.34</t>
  </si>
  <si>
    <t>8.32</t>
  </si>
  <si>
    <t>1.6</t>
  </si>
  <si>
    <t>0.38</t>
  </si>
  <si>
    <t>2013-01</t>
  </si>
  <si>
    <t>37.6</t>
  </si>
  <si>
    <t>11.06</t>
  </si>
  <si>
    <t>35.75</t>
  </si>
  <si>
    <t>8.58</t>
  </si>
  <si>
    <t>1.85</t>
  </si>
  <si>
    <t>0.44</t>
  </si>
  <si>
    <t>2013-02</t>
  </si>
  <si>
    <t>49.43</t>
  </si>
  <si>
    <t>9.32</t>
  </si>
  <si>
    <t>27.99</t>
  </si>
  <si>
    <t>7.35</t>
  </si>
  <si>
    <t>1.55</t>
  </si>
  <si>
    <t>0.4</t>
  </si>
  <si>
    <t>2013-03</t>
  </si>
  <si>
    <t>50.52</t>
  </si>
  <si>
    <t>9.48</t>
  </si>
  <si>
    <t>26.7</t>
  </si>
  <si>
    <t>7.13</t>
  </si>
  <si>
    <t>1.67</t>
  </si>
  <si>
    <t>1.41</t>
  </si>
  <si>
    <t>1.48</t>
  </si>
  <si>
    <t>2013-04</t>
  </si>
  <si>
    <t>46.27</t>
  </si>
  <si>
    <t>9.49</t>
  </si>
  <si>
    <t>29.26</t>
  </si>
  <si>
    <t>8.05</t>
  </si>
  <si>
    <t>1.84</t>
  </si>
  <si>
    <t>1.53</t>
  </si>
  <si>
    <t>0.37</t>
  </si>
  <si>
    <t>0.35</t>
  </si>
  <si>
    <t>2013-05</t>
  </si>
  <si>
    <t>45.17</t>
  </si>
  <si>
    <t>9.14</t>
  </si>
  <si>
    <t>30.81</t>
  </si>
  <si>
    <t>8.29</t>
  </si>
  <si>
    <t>1.57</t>
  </si>
  <si>
    <t>2013-06</t>
  </si>
  <si>
    <t>41.51</t>
  </si>
  <si>
    <t>9.6</t>
  </si>
  <si>
    <t>33.2</t>
  </si>
  <si>
    <t>8.76</t>
  </si>
  <si>
    <t>1.63</t>
  </si>
  <si>
    <t>2013-07</t>
  </si>
  <si>
    <t>40.61</t>
  </si>
  <si>
    <t>9.3</t>
  </si>
  <si>
    <t>34.9</t>
  </si>
  <si>
    <t>8.73</t>
  </si>
  <si>
    <t>1.7</t>
  </si>
  <si>
    <t>2013-08</t>
  </si>
  <si>
    <t>39.99</t>
  </si>
  <si>
    <t>9.91</t>
  </si>
  <si>
    <t>34.07</t>
  </si>
  <si>
    <t>9.05</t>
  </si>
  <si>
    <t>1.3</t>
  </si>
  <si>
    <t>1.88</t>
  </si>
  <si>
    <t>0.62</t>
  </si>
  <si>
    <t>2013-09</t>
  </si>
  <si>
    <t>37.06</t>
  </si>
  <si>
    <t>9.88</t>
  </si>
  <si>
    <t>35.83</t>
  </si>
  <si>
    <t>10.11</t>
  </si>
  <si>
    <t>1.28</t>
  </si>
  <si>
    <t>1.91</t>
  </si>
  <si>
    <t>1.46</t>
  </si>
  <si>
    <t>0.75</t>
  </si>
  <si>
    <t>0.41</t>
  </si>
  <si>
    <t>2013-10</t>
  </si>
  <si>
    <t>28.01</t>
  </si>
  <si>
    <t>10.53</t>
  </si>
  <si>
    <t>37.19</t>
  </si>
  <si>
    <t>16.75</t>
  </si>
  <si>
    <t>1.33</t>
  </si>
  <si>
    <t>0.77</t>
  </si>
  <si>
    <t>2013-11</t>
  </si>
  <si>
    <t>37.97</t>
  </si>
  <si>
    <t>11.85</t>
  </si>
  <si>
    <t>31.45</t>
  </si>
  <si>
    <t>10.27</t>
  </si>
  <si>
    <t>2.21</t>
  </si>
  <si>
    <t>1.79</t>
  </si>
  <si>
    <t>0.98</t>
  </si>
  <si>
    <t>0.5</t>
  </si>
  <si>
    <t>2013-12</t>
  </si>
  <si>
    <t>44.32</t>
  </si>
  <si>
    <t>12.01</t>
  </si>
  <si>
    <t>24.92</t>
  </si>
  <si>
    <t>10.35</t>
  </si>
  <si>
    <t>1.07</t>
  </si>
  <si>
    <t>2.29</t>
  </si>
  <si>
    <t>1.66</t>
  </si>
  <si>
    <t>0.21</t>
  </si>
  <si>
    <t>0.52</t>
  </si>
  <si>
    <t>2014-01</t>
  </si>
  <si>
    <t>58.58</t>
  </si>
  <si>
    <t>9.16</t>
  </si>
  <si>
    <t>18.08</t>
  </si>
  <si>
    <t>7.49</t>
  </si>
  <si>
    <t>0.83</t>
  </si>
  <si>
    <t>0.92</t>
  </si>
  <si>
    <t>2014-02</t>
  </si>
  <si>
    <t>52.9</t>
  </si>
  <si>
    <t>12.03</t>
  </si>
  <si>
    <t>18.73</t>
  </si>
  <si>
    <t>7.95</t>
  </si>
  <si>
    <t>1.61</t>
  </si>
  <si>
    <t>1.54</t>
  </si>
  <si>
    <t>1.08</t>
  </si>
  <si>
    <t>2014-03</t>
  </si>
  <si>
    <t>51.81</t>
  </si>
  <si>
    <t>11.67</t>
  </si>
  <si>
    <t>19.93</t>
  </si>
  <si>
    <t>7.73</t>
  </si>
  <si>
    <t>2.03</t>
  </si>
  <si>
    <t>1.12</t>
  </si>
  <si>
    <t>2014-04</t>
  </si>
  <si>
    <t>45.25</t>
  </si>
  <si>
    <t>13.66</t>
  </si>
  <si>
    <t>21.36</t>
  </si>
  <si>
    <t>8.95</t>
  </si>
  <si>
    <t>2.18</t>
  </si>
  <si>
    <t>2.45</t>
  </si>
  <si>
    <t>1.94</t>
  </si>
  <si>
    <t>0.56</t>
  </si>
  <si>
    <t>2014-05</t>
  </si>
  <si>
    <t>41.79</t>
  </si>
  <si>
    <t>15.75</t>
  </si>
  <si>
    <t>20.42</t>
  </si>
  <si>
    <t>9.92</t>
  </si>
  <si>
    <t>2.75</t>
  </si>
  <si>
    <t>2.15</t>
  </si>
  <si>
    <t>2014-06</t>
  </si>
  <si>
    <t>42.78</t>
  </si>
  <si>
    <t>15.71</t>
  </si>
  <si>
    <t>0.78</t>
  </si>
  <si>
    <t>18.82</t>
  </si>
  <si>
    <t>10.02</t>
  </si>
  <si>
    <t>0.57</t>
  </si>
  <si>
    <t>2.39</t>
  </si>
  <si>
    <t>2.85</t>
  </si>
  <si>
    <t>2.09</t>
  </si>
  <si>
    <t>1.62</t>
  </si>
  <si>
    <t>2014-07</t>
  </si>
  <si>
    <t>49.55</t>
  </si>
  <si>
    <t>13.33</t>
  </si>
  <si>
    <t>0.71</t>
  </si>
  <si>
    <t>17.61</t>
  </si>
  <si>
    <t>8.13</t>
  </si>
  <si>
    <t>0.46</t>
  </si>
  <si>
    <t>2.44</t>
  </si>
  <si>
    <t>1.31</t>
  </si>
  <si>
    <t>2014-08</t>
  </si>
  <si>
    <t>38.94</t>
  </si>
  <si>
    <t>15.26</t>
  </si>
  <si>
    <t>22.29</t>
  </si>
  <si>
    <t>1.02</t>
  </si>
  <si>
    <t>0.66</t>
  </si>
  <si>
    <t>2014-09</t>
  </si>
  <si>
    <t>38.22</t>
  </si>
  <si>
    <t>15.24</t>
  </si>
  <si>
    <t>1.44</t>
  </si>
  <si>
    <t>23.21</t>
  </si>
  <si>
    <t>9.5</t>
  </si>
  <si>
    <t>1.29</t>
  </si>
  <si>
    <t>2.04</t>
  </si>
  <si>
    <t>0.63</t>
  </si>
  <si>
    <t>2014-10</t>
  </si>
  <si>
    <t>39.91</t>
  </si>
  <si>
    <t>14.15</t>
  </si>
  <si>
    <t>1.27</t>
  </si>
  <si>
    <t>20.95</t>
  </si>
  <si>
    <t>10.91</t>
  </si>
  <si>
    <t>2.16</t>
  </si>
  <si>
    <t>1.52</t>
  </si>
  <si>
    <t>2.14</t>
  </si>
  <si>
    <t>2014-11</t>
  </si>
  <si>
    <t>23.11</t>
  </si>
  <si>
    <t>15.43</t>
  </si>
  <si>
    <t>24.76</t>
  </si>
  <si>
    <t>19.8</t>
  </si>
  <si>
    <t>2.36</t>
  </si>
  <si>
    <t>3.07</t>
  </si>
  <si>
    <t>2.05</t>
  </si>
  <si>
    <t>2.49</t>
  </si>
  <si>
    <t>1.87</t>
  </si>
  <si>
    <t>2014-12</t>
  </si>
  <si>
    <t>21.33</t>
  </si>
  <si>
    <t>16.43</t>
  </si>
  <si>
    <t>25.14</t>
  </si>
  <si>
    <t>18.98</t>
  </si>
  <si>
    <t>0.6</t>
  </si>
  <si>
    <t>2.7</t>
  </si>
  <si>
    <t>2.93</t>
  </si>
  <si>
    <t>2.6</t>
  </si>
  <si>
    <t>2.55</t>
  </si>
  <si>
    <t>0.74</t>
  </si>
  <si>
    <t>2015-01</t>
  </si>
  <si>
    <t>28.22</t>
  </si>
  <si>
    <t>14.6</t>
  </si>
  <si>
    <t>25.75</t>
  </si>
  <si>
    <t>14.32</t>
  </si>
  <si>
    <t>0.54</t>
  </si>
  <si>
    <t>2.52</t>
  </si>
  <si>
    <t>2.32</t>
  </si>
  <si>
    <t>2015-02</t>
  </si>
  <si>
    <t>26.87</t>
  </si>
  <si>
    <t>14.53</t>
  </si>
  <si>
    <t>3.08</t>
  </si>
  <si>
    <t>26.5</t>
  </si>
  <si>
    <t>14.37</t>
  </si>
  <si>
    <t>2.65</t>
  </si>
  <si>
    <t>2.46</t>
  </si>
  <si>
    <t>2.76</t>
  </si>
  <si>
    <t>2.26</t>
  </si>
  <si>
    <t>2015-03</t>
  </si>
  <si>
    <t>29.4</t>
  </si>
  <si>
    <t>13.79</t>
  </si>
  <si>
    <t>2.59</t>
  </si>
  <si>
    <t>23.31</t>
  </si>
  <si>
    <t>15.99</t>
  </si>
  <si>
    <t>0.48</t>
  </si>
  <si>
    <t>2.42</t>
  </si>
  <si>
    <t>2015-04</t>
  </si>
  <si>
    <t>30.74</t>
  </si>
  <si>
    <t>13.44</t>
  </si>
  <si>
    <t>2.95</t>
  </si>
  <si>
    <t>21.97</t>
  </si>
  <si>
    <t>15.9</t>
  </si>
  <si>
    <t>2.89</t>
  </si>
  <si>
    <t>2.28</t>
  </si>
  <si>
    <t>0.88</t>
  </si>
  <si>
    <t>2015-05</t>
  </si>
  <si>
    <t>31.8</t>
  </si>
  <si>
    <t>13.02</t>
  </si>
  <si>
    <t>2.68</t>
  </si>
  <si>
    <t>23.76</t>
  </si>
  <si>
    <t>14.45</t>
  </si>
  <si>
    <t>2.78</t>
  </si>
  <si>
    <t>2.13</t>
  </si>
  <si>
    <t>2.33</t>
  </si>
  <si>
    <t>2015-06</t>
  </si>
  <si>
    <t>35.79</t>
  </si>
  <si>
    <t>14.03</t>
  </si>
  <si>
    <t>3.06</t>
  </si>
  <si>
    <t>21.85</t>
  </si>
  <si>
    <t>12.06</t>
  </si>
  <si>
    <t>0.72</t>
  </si>
  <si>
    <t>2015-07</t>
  </si>
  <si>
    <t>37.33</t>
  </si>
  <si>
    <t>13.41</t>
  </si>
  <si>
    <t>2.81</t>
  </si>
  <si>
    <t>12.57</t>
  </si>
  <si>
    <t>1.96</t>
  </si>
  <si>
    <t>2015-08</t>
  </si>
  <si>
    <t>27.8</t>
  </si>
  <si>
    <t>18.5</t>
  </si>
  <si>
    <t>4.42</t>
  </si>
  <si>
    <t>19.97</t>
  </si>
  <si>
    <t>14.09</t>
  </si>
  <si>
    <t>2.94</t>
  </si>
  <si>
    <t>2.62</t>
  </si>
  <si>
    <t>2.1</t>
  </si>
  <si>
    <t>2015-09</t>
  </si>
  <si>
    <t>31.19</t>
  </si>
  <si>
    <t>17.51</t>
  </si>
  <si>
    <t>4.05</t>
  </si>
  <si>
    <t>19.04</t>
  </si>
  <si>
    <t>12.73</t>
  </si>
  <si>
    <t>2.91</t>
  </si>
  <si>
    <t>2.11</t>
  </si>
  <si>
    <t>2.82</t>
  </si>
  <si>
    <t>2015-10</t>
  </si>
  <si>
    <t>32.32</t>
  </si>
  <si>
    <t>3.4</t>
  </si>
  <si>
    <t>21.3</t>
  </si>
  <si>
    <t>13.32</t>
  </si>
  <si>
    <t>2015-11</t>
  </si>
  <si>
    <t>34.43</t>
  </si>
  <si>
    <t>20.38</t>
  </si>
  <si>
    <t>13.55</t>
  </si>
  <si>
    <t>1.98</t>
  </si>
  <si>
    <t>2.77</t>
  </si>
  <si>
    <t>2.2</t>
  </si>
  <si>
    <t>2015-12</t>
  </si>
  <si>
    <t>30.99</t>
  </si>
  <si>
    <t>2.96</t>
  </si>
  <si>
    <t>18.49</t>
  </si>
  <si>
    <t>15.21</t>
  </si>
  <si>
    <t>3.05</t>
  </si>
  <si>
    <t>2.97</t>
  </si>
  <si>
    <t>2.17</t>
  </si>
  <si>
    <t>0.93</t>
  </si>
  <si>
    <t>2016-01</t>
  </si>
  <si>
    <t>32.21</t>
  </si>
  <si>
    <t>16.31</t>
  </si>
  <si>
    <t>2.87</t>
  </si>
  <si>
    <t>16.29</t>
  </si>
  <si>
    <t>15.03</t>
  </si>
  <si>
    <t>3.16</t>
  </si>
  <si>
    <t>2.22</t>
  </si>
  <si>
    <t>3.15</t>
  </si>
  <si>
    <t>2.35</t>
  </si>
  <si>
    <t>0.8</t>
  </si>
  <si>
    <t>2016-02</t>
  </si>
  <si>
    <t>30.34</t>
  </si>
  <si>
    <t>17.38</t>
  </si>
  <si>
    <t>3.11</t>
  </si>
  <si>
    <t>15.68</t>
  </si>
  <si>
    <t>16.09</t>
  </si>
  <si>
    <t>1.1</t>
  </si>
  <si>
    <t>2.99</t>
  </si>
  <si>
    <t>2016-03</t>
  </si>
  <si>
    <t>37.56</t>
  </si>
  <si>
    <t>19.85</t>
  </si>
  <si>
    <t>9.39</t>
  </si>
  <si>
    <t>10.62</t>
  </si>
  <si>
    <t>4.34</t>
  </si>
  <si>
    <t>2.47</t>
  </si>
  <si>
    <t>3.14</t>
  </si>
  <si>
    <t>1.19</t>
  </si>
  <si>
    <t>2016-04</t>
  </si>
  <si>
    <t>36.81</t>
  </si>
  <si>
    <t>20.09</t>
  </si>
  <si>
    <t>9.79</t>
  </si>
  <si>
    <t>0.95</t>
  </si>
  <si>
    <t>1.16</t>
  </si>
  <si>
    <t>2016-05</t>
  </si>
  <si>
    <t>38.71</t>
  </si>
  <si>
    <t>20.28</t>
  </si>
  <si>
    <t>2.4</t>
  </si>
  <si>
    <t>10.79</t>
  </si>
  <si>
    <t>2.48</t>
  </si>
  <si>
    <t>2016-06</t>
  </si>
  <si>
    <t>38.6</t>
  </si>
  <si>
    <t>20.63</t>
  </si>
  <si>
    <t>2.31</t>
  </si>
  <si>
    <t>8.39</t>
  </si>
  <si>
    <t>11.5</t>
  </si>
  <si>
    <t>3.99</t>
  </si>
  <si>
    <t>2.8</t>
  </si>
  <si>
    <t>1.05</t>
  </si>
  <si>
    <t>2016-07</t>
  </si>
  <si>
    <t>40.81</t>
  </si>
  <si>
    <t>19.54</t>
  </si>
  <si>
    <t>8.18</t>
  </si>
  <si>
    <t>11.88</t>
  </si>
  <si>
    <t>1.03</t>
  </si>
  <si>
    <t>3.57</t>
  </si>
  <si>
    <t>2.72</t>
  </si>
  <si>
    <t>0.81</t>
  </si>
  <si>
    <t>2016-08</t>
  </si>
  <si>
    <t>42.12</t>
  </si>
  <si>
    <t>17.82</t>
  </si>
  <si>
    <t>6.53</t>
  </si>
  <si>
    <t>14.9</t>
  </si>
  <si>
    <t>1.2</t>
  </si>
  <si>
    <t>2.69</t>
  </si>
  <si>
    <t>2.25</t>
  </si>
  <si>
    <t>2016-09</t>
  </si>
  <si>
    <t>41.42</t>
  </si>
  <si>
    <t>18.34</t>
  </si>
  <si>
    <t>5.54</t>
  </si>
  <si>
    <t>16.47</t>
  </si>
  <si>
    <t>1.9</t>
  </si>
  <si>
    <t>2.43</t>
  </si>
  <si>
    <t>2.3</t>
  </si>
  <si>
    <t>2016-10</t>
  </si>
  <si>
    <t>32.46</t>
  </si>
  <si>
    <t>18.05</t>
  </si>
  <si>
    <t>15.46</t>
  </si>
  <si>
    <t>2.24</t>
  </si>
  <si>
    <t>3.35</t>
  </si>
  <si>
    <t>3.34</t>
  </si>
  <si>
    <t>0.84</t>
  </si>
  <si>
    <t>2016-11</t>
  </si>
  <si>
    <t>32.16</t>
  </si>
  <si>
    <t>21.47</t>
  </si>
  <si>
    <t>5.38</t>
  </si>
  <si>
    <t>6.02</t>
  </si>
  <si>
    <t>11.05</t>
  </si>
  <si>
    <t>0.94</t>
  </si>
  <si>
    <t>2016-12</t>
  </si>
  <si>
    <t>39.11</t>
  </si>
  <si>
    <t>24.81</t>
  </si>
  <si>
    <t>7.36</t>
  </si>
  <si>
    <t>7.54</t>
  </si>
  <si>
    <t>4.29</t>
  </si>
  <si>
    <t>2.08</t>
  </si>
  <si>
    <t>2.01</t>
  </si>
  <si>
    <t>2017-01</t>
  </si>
  <si>
    <t>42.05</t>
  </si>
  <si>
    <t>23.73</t>
  </si>
  <si>
    <t>7.6</t>
  </si>
  <si>
    <t>3.01</t>
  </si>
  <si>
    <t>6.42</t>
  </si>
  <si>
    <t>1.89</t>
  </si>
  <si>
    <t>2017-02</t>
  </si>
  <si>
    <t>44.78</t>
  </si>
  <si>
    <t>23.91</t>
  </si>
  <si>
    <t>9.07</t>
  </si>
  <si>
    <t>1.15</t>
  </si>
  <si>
    <t>5.2</t>
  </si>
  <si>
    <t>3.55</t>
  </si>
  <si>
    <t>1.09</t>
  </si>
  <si>
    <t>2017-03</t>
  </si>
  <si>
    <t>44.28</t>
  </si>
  <si>
    <t>22.6</t>
  </si>
  <si>
    <t>8.04</t>
  </si>
  <si>
    <t>3.04</t>
  </si>
  <si>
    <t>5.86</t>
  </si>
  <si>
    <t>1.71</t>
  </si>
  <si>
    <t>3.52</t>
  </si>
  <si>
    <t>2017-04</t>
  </si>
  <si>
    <t>34.98</t>
  </si>
  <si>
    <t>24.72</t>
  </si>
  <si>
    <t>1.37</t>
  </si>
  <si>
    <t>7.29</t>
  </si>
  <si>
    <t>3.93</t>
  </si>
  <si>
    <t>2.73</t>
  </si>
  <si>
    <t>0.89</t>
  </si>
  <si>
    <t>2017-05</t>
  </si>
  <si>
    <t>35.25</t>
  </si>
  <si>
    <t>25.18</t>
  </si>
  <si>
    <t>7.99</t>
  </si>
  <si>
    <t>4.16</t>
  </si>
  <si>
    <t>6.89</t>
  </si>
  <si>
    <t>2017-06</t>
  </si>
  <si>
    <t>31.69</t>
  </si>
  <si>
    <t>7.8</t>
  </si>
  <si>
    <t>7.46</t>
  </si>
  <si>
    <t>3.92</t>
  </si>
  <si>
    <t>0.9</t>
  </si>
  <si>
    <t>2017-07</t>
  </si>
  <si>
    <t>25.88</t>
  </si>
  <si>
    <t>8.43</t>
  </si>
  <si>
    <t>5.15</t>
  </si>
  <si>
    <t>7.66</t>
  </si>
  <si>
    <t>2.37</t>
  </si>
  <si>
    <t>3.74</t>
  </si>
  <si>
    <t>2.56</t>
  </si>
  <si>
    <t>1.92</t>
  </si>
  <si>
    <t>2017-08</t>
  </si>
  <si>
    <t>34.39</t>
  </si>
  <si>
    <t>25.55</t>
  </si>
  <si>
    <t>8.53</t>
  </si>
  <si>
    <t>1.75</t>
  </si>
  <si>
    <t>4.18</t>
  </si>
  <si>
    <t>6.87</t>
  </si>
  <si>
    <t>3.56</t>
  </si>
  <si>
    <t>1.72</t>
  </si>
  <si>
    <t>1.93</t>
  </si>
  <si>
    <t>2017-09</t>
  </si>
  <si>
    <t>30.5</t>
  </si>
  <si>
    <t>30.72</t>
  </si>
  <si>
    <t>8.07</t>
  </si>
  <si>
    <t>4.02</t>
  </si>
  <si>
    <t>7.17</t>
  </si>
  <si>
    <t>2017-10</t>
  </si>
  <si>
    <t>31.76</t>
  </si>
  <si>
    <t>27.98</t>
  </si>
  <si>
    <t>8.7</t>
  </si>
  <si>
    <t>3.75</t>
  </si>
  <si>
    <t>7.1</t>
  </si>
  <si>
    <t>3.69</t>
  </si>
  <si>
    <t>2.38</t>
  </si>
  <si>
    <t>0.79</t>
  </si>
  <si>
    <t>2017-11</t>
  </si>
  <si>
    <t>30.29</t>
  </si>
  <si>
    <t>27.09</t>
  </si>
  <si>
    <t>6.28</t>
  </si>
  <si>
    <t>7.37</t>
  </si>
  <si>
    <t>3.54</t>
  </si>
  <si>
    <t>2017-12</t>
  </si>
  <si>
    <t>27.48</t>
  </si>
  <si>
    <t>26.3</t>
  </si>
  <si>
    <t>6.8</t>
  </si>
  <si>
    <t>8.62</t>
  </si>
  <si>
    <t>2018-01</t>
  </si>
  <si>
    <t>25.22</t>
  </si>
  <si>
    <t>24.3</t>
  </si>
  <si>
    <t>6.95</t>
  </si>
  <si>
    <t>4.06</t>
  </si>
  <si>
    <t>1.38</t>
  </si>
  <si>
    <t>3.09</t>
  </si>
  <si>
    <t>2018-02</t>
  </si>
  <si>
    <t>30.09</t>
  </si>
  <si>
    <t>28.49</t>
  </si>
  <si>
    <t>9.63</t>
  </si>
  <si>
    <t>5.28</t>
  </si>
  <si>
    <t>7.47</t>
  </si>
  <si>
    <t>3.2</t>
  </si>
  <si>
    <t>0.69</t>
  </si>
  <si>
    <t>2018-03</t>
  </si>
  <si>
    <t>36.23</t>
  </si>
  <si>
    <t>26.32</t>
  </si>
  <si>
    <t>8.09</t>
  </si>
  <si>
    <t>2018-04</t>
  </si>
  <si>
    <t>39.76</t>
  </si>
  <si>
    <t>26.92</t>
  </si>
  <si>
    <t>6.34</t>
  </si>
  <si>
    <t>4.65</t>
  </si>
  <si>
    <t>3.67</t>
  </si>
  <si>
    <t>1.23</t>
  </si>
  <si>
    <t>2018-05</t>
  </si>
  <si>
    <t>40.11</t>
  </si>
  <si>
    <t>26.51</t>
  </si>
  <si>
    <t>4.21</t>
  </si>
  <si>
    <t>3.59</t>
  </si>
  <si>
    <t>1.25</t>
  </si>
  <si>
    <t>2018-06</t>
  </si>
  <si>
    <t>39.62</t>
  </si>
  <si>
    <t>26.58</t>
  </si>
  <si>
    <t>7.08</t>
  </si>
  <si>
    <t>4.1</t>
  </si>
  <si>
    <t>0.99</t>
  </si>
  <si>
    <t>2018-07</t>
  </si>
  <si>
    <t>34.83</t>
  </si>
  <si>
    <t>10.93</t>
  </si>
  <si>
    <t>4.43</t>
  </si>
  <si>
    <t>1.01</t>
  </si>
  <si>
    <t>0.85</t>
  </si>
  <si>
    <t>2018-08</t>
  </si>
  <si>
    <t>27.49</t>
  </si>
  <si>
    <t>9.44</t>
  </si>
  <si>
    <t>3.5</t>
  </si>
  <si>
    <t>3.39</t>
  </si>
  <si>
    <t>2.63</t>
  </si>
  <si>
    <t>0.7</t>
  </si>
  <si>
    <t>2018-09</t>
  </si>
  <si>
    <t>37.31</t>
  </si>
  <si>
    <t>28.42</t>
  </si>
  <si>
    <t>4.15</t>
  </si>
  <si>
    <t>3.36</t>
  </si>
  <si>
    <t>2.51</t>
  </si>
  <si>
    <t>1.68</t>
  </si>
  <si>
    <t>2018-10</t>
  </si>
  <si>
    <t>38.27</t>
  </si>
  <si>
    <t>28.87</t>
  </si>
  <si>
    <t>8.93</t>
  </si>
  <si>
    <t>4.53</t>
  </si>
  <si>
    <t>3.26</t>
  </si>
  <si>
    <t>0.91</t>
  </si>
  <si>
    <t>0.86</t>
  </si>
  <si>
    <t>2018-11</t>
  </si>
  <si>
    <t>41.39</t>
  </si>
  <si>
    <t>27.16</t>
  </si>
  <si>
    <t>4.88</t>
  </si>
  <si>
    <t>4.07</t>
  </si>
  <si>
    <t>1.24</t>
  </si>
  <si>
    <t>2018-12</t>
  </si>
  <si>
    <t>38.53</t>
  </si>
  <si>
    <t>29.53</t>
  </si>
  <si>
    <t>8.81</t>
  </si>
  <si>
    <t>5.27</t>
  </si>
  <si>
    <t>3.88</t>
  </si>
  <si>
    <t>1.13</t>
  </si>
  <si>
    <t>0.82</t>
  </si>
  <si>
    <t>1.17</t>
  </si>
  <si>
    <t>2019-01</t>
  </si>
  <si>
    <t>37.45</t>
  </si>
  <si>
    <t>29.24</t>
  </si>
  <si>
    <t>8.45</t>
  </si>
  <si>
    <t>5.19</t>
  </si>
  <si>
    <t>5.31</t>
  </si>
  <si>
    <t>1.14</t>
  </si>
  <si>
    <t>2019-02</t>
  </si>
  <si>
    <t>39.19</t>
  </si>
  <si>
    <t>29.55</t>
  </si>
  <si>
    <t>8.85</t>
  </si>
  <si>
    <t>4.96</t>
  </si>
  <si>
    <t>4.8</t>
  </si>
  <si>
    <t>2.84</t>
  </si>
  <si>
    <t>2019-03</t>
  </si>
  <si>
    <t>28.99</t>
  </si>
  <si>
    <t>3.12</t>
  </si>
  <si>
    <t>2019-04</t>
  </si>
  <si>
    <t>29.67</t>
  </si>
  <si>
    <t>8.84</t>
  </si>
  <si>
    <t>3.28</t>
  </si>
  <si>
    <t>2019-05</t>
  </si>
  <si>
    <t>38.06</t>
  </si>
  <si>
    <t>8.8</t>
  </si>
  <si>
    <t>3.3</t>
  </si>
  <si>
    <t>2019-06</t>
  </si>
  <si>
    <t>30.02</t>
  </si>
  <si>
    <t>9.83</t>
  </si>
  <si>
    <t>3.25</t>
  </si>
  <si>
    <t>1.73</t>
  </si>
  <si>
    <t>2019-07</t>
  </si>
  <si>
    <t>39.61</t>
  </si>
  <si>
    <t>28.93</t>
  </si>
  <si>
    <t>8.9</t>
  </si>
  <si>
    <t>5.16</t>
  </si>
  <si>
    <t>3.49</t>
  </si>
  <si>
    <t>2019-08</t>
  </si>
  <si>
    <t>41.48</t>
  </si>
  <si>
    <t>8.55</t>
  </si>
  <si>
    <t>6.13</t>
  </si>
  <si>
    <t>2019-09</t>
  </si>
  <si>
    <t>40.04</t>
  </si>
  <si>
    <t>29.08</t>
  </si>
  <si>
    <t>8.42</t>
  </si>
  <si>
    <t>6.24</t>
  </si>
  <si>
    <t>3.42</t>
  </si>
  <si>
    <t>2019-10</t>
  </si>
  <si>
    <t>38.1</t>
  </si>
  <si>
    <t>29.8</t>
  </si>
  <si>
    <t>9.22</t>
  </si>
  <si>
    <t>6.71</t>
  </si>
  <si>
    <t>3.91</t>
  </si>
  <si>
    <t>2019-11</t>
  </si>
  <si>
    <t>38.43</t>
  </si>
  <si>
    <t>29.49</t>
  </si>
  <si>
    <t>2019-12</t>
  </si>
  <si>
    <t>37.05</t>
  </si>
  <si>
    <t>30.25</t>
  </si>
  <si>
    <t>3.81</t>
  </si>
  <si>
    <t>2020-01</t>
  </si>
  <si>
    <t>37.48</t>
  </si>
  <si>
    <t>29.83</t>
  </si>
  <si>
    <t>10.92</t>
  </si>
  <si>
    <t>6.15</t>
  </si>
  <si>
    <t>1.78</t>
  </si>
  <si>
    <t>1.74</t>
  </si>
  <si>
    <t>2020-02</t>
  </si>
  <si>
    <t>34.75</t>
  </si>
  <si>
    <t>31.56</t>
  </si>
  <si>
    <t>11.94</t>
  </si>
  <si>
    <t>5.97</t>
  </si>
  <si>
    <t>2020-03</t>
  </si>
  <si>
    <t>33.34</t>
  </si>
  <si>
    <t>32.28</t>
  </si>
  <si>
    <t>12.81</t>
  </si>
  <si>
    <t>6.31</t>
  </si>
  <si>
    <t>3.23</t>
  </si>
  <si>
    <t>2020-04</t>
  </si>
  <si>
    <t>35.05</t>
  </si>
  <si>
    <t>31.75</t>
  </si>
  <si>
    <t>11.79</t>
  </si>
  <si>
    <t>3.03</t>
  </si>
  <si>
    <t>2020-05</t>
  </si>
  <si>
    <t>27.55</t>
  </si>
  <si>
    <t>6.94</t>
  </si>
  <si>
    <t>2020-06</t>
  </si>
  <si>
    <t>38.58</t>
  </si>
  <si>
    <t>27.66</t>
  </si>
  <si>
    <t>10.64</t>
  </si>
  <si>
    <t>9.47</t>
  </si>
  <si>
    <t>2020-07</t>
  </si>
  <si>
    <t>41.12</t>
  </si>
  <si>
    <t>27.35</t>
  </si>
  <si>
    <t>7.88</t>
  </si>
  <si>
    <t>2020-08</t>
  </si>
  <si>
    <t>36.25</t>
  </si>
  <si>
    <t>30.68</t>
  </si>
  <si>
    <t>12.14</t>
  </si>
  <si>
    <t>6.91</t>
  </si>
  <si>
    <t>2020-09</t>
  </si>
  <si>
    <t>31.26</t>
  </si>
  <si>
    <t>33.23</t>
  </si>
  <si>
    <t>13.85</t>
  </si>
  <si>
    <t>7.68</t>
  </si>
  <si>
    <t>1.36</t>
  </si>
  <si>
    <t>2020-10</t>
  </si>
  <si>
    <t>32.24</t>
  </si>
  <si>
    <t>12.22</t>
  </si>
  <si>
    <t>7.7</t>
  </si>
  <si>
    <t>2020-11</t>
  </si>
  <si>
    <t>36.68</t>
  </si>
  <si>
    <t>31.47</t>
  </si>
  <si>
    <t>7.61</t>
  </si>
  <si>
    <t>2.19</t>
  </si>
  <si>
    <t>2020-12</t>
  </si>
  <si>
    <t>34.53</t>
  </si>
  <si>
    <t>31.38</t>
  </si>
  <si>
    <t>12.36</t>
  </si>
  <si>
    <t>7.91</t>
  </si>
  <si>
    <t>2021-01</t>
  </si>
  <si>
    <t>32.08</t>
  </si>
  <si>
    <t>13.07</t>
  </si>
  <si>
    <t>9.19</t>
  </si>
  <si>
    <t>2021-02</t>
  </si>
  <si>
    <t>32.1</t>
  </si>
  <si>
    <t>31.81</t>
  </si>
  <si>
    <t>8.59</t>
  </si>
  <si>
    <t>2021-03</t>
  </si>
  <si>
    <t>34.12</t>
  </si>
  <si>
    <t>30.84</t>
  </si>
  <si>
    <t>13.2</t>
  </si>
  <si>
    <t>8.17</t>
  </si>
  <si>
    <t>3.18</t>
  </si>
  <si>
    <t>2021-04</t>
  </si>
  <si>
    <t>36.06</t>
  </si>
  <si>
    <t>29.96</t>
  </si>
  <si>
    <t>12.62</t>
  </si>
  <si>
    <t>8.27</t>
  </si>
  <si>
    <t>2021-05</t>
  </si>
  <si>
    <t>36.44</t>
  </si>
  <si>
    <t>29.98</t>
  </si>
  <si>
    <t>13.64</t>
  </si>
  <si>
    <t>7.26</t>
  </si>
  <si>
    <t>1.76</t>
  </si>
  <si>
    <t>2021-06</t>
  </si>
  <si>
    <t>36.16</t>
  </si>
  <si>
    <t>14.24</t>
  </si>
  <si>
    <t>7.02</t>
  </si>
  <si>
    <t>2021-07</t>
  </si>
  <si>
    <t>34.64</t>
  </si>
  <si>
    <t>14.97</t>
  </si>
  <si>
    <t>2.12</t>
  </si>
  <si>
    <t>2021-08</t>
  </si>
  <si>
    <t>33.5</t>
  </si>
  <si>
    <t>30.54</t>
  </si>
  <si>
    <t>15.52</t>
  </si>
  <si>
    <t>4.38</t>
  </si>
  <si>
    <t>2021-09</t>
  </si>
  <si>
    <t>32.74</t>
  </si>
  <si>
    <t>15.58</t>
  </si>
  <si>
    <t>7.96</t>
  </si>
  <si>
    <t>2021-10</t>
  </si>
  <si>
    <t>33.38</t>
  </si>
  <si>
    <t>30.56</t>
  </si>
  <si>
    <t>14.99</t>
  </si>
  <si>
    <t>8.1</t>
  </si>
  <si>
    <t>4.36</t>
  </si>
  <si>
    <t>2021-11</t>
  </si>
  <si>
    <t>34.41</t>
  </si>
  <si>
    <t>30.1</t>
  </si>
  <si>
    <t>14.33</t>
  </si>
  <si>
    <t>8.34</t>
  </si>
  <si>
    <t>4.13</t>
  </si>
  <si>
    <t>2021-12</t>
  </si>
  <si>
    <t>31.33</t>
  </si>
  <si>
    <t>15.64</t>
  </si>
  <si>
    <t>2022-01</t>
  </si>
  <si>
    <t>29.85</t>
  </si>
  <si>
    <t>30.35</t>
  </si>
  <si>
    <t>17.07</t>
  </si>
  <si>
    <t>8.54</t>
  </si>
  <si>
    <t>5.33</t>
  </si>
  <si>
    <t>2022-02</t>
  </si>
  <si>
    <t>27.56</t>
  </si>
  <si>
    <t>31.93</t>
  </si>
  <si>
    <t>17.58</t>
  </si>
  <si>
    <t>5.77</t>
  </si>
  <si>
    <t>2022-03</t>
  </si>
  <si>
    <t>30.65</t>
  </si>
  <si>
    <t>15.47</t>
  </si>
  <si>
    <t>8.56</t>
  </si>
  <si>
    <t>5.18</t>
  </si>
  <si>
    <t>2022-04</t>
  </si>
  <si>
    <t>29.89</t>
  </si>
  <si>
    <t>15.82</t>
  </si>
  <si>
    <t>8.72</t>
  </si>
  <si>
    <t>5.56</t>
  </si>
  <si>
    <t>2022-05</t>
  </si>
  <si>
    <t>31.13</t>
  </si>
  <si>
    <t>28.2</t>
  </si>
  <si>
    <t>16.67</t>
  </si>
  <si>
    <t>10.75</t>
  </si>
  <si>
    <t>5.76</t>
  </si>
  <si>
    <t>2022-06</t>
  </si>
  <si>
    <t>30.2</t>
  </si>
  <si>
    <t>27.63</t>
  </si>
  <si>
    <t>17.86</t>
  </si>
  <si>
    <t>11.18</t>
  </si>
  <si>
    <t>2022-07</t>
  </si>
  <si>
    <t>30.07</t>
  </si>
  <si>
    <t>27.37</t>
  </si>
  <si>
    <t>17.57</t>
  </si>
  <si>
    <t>11.7</t>
  </si>
  <si>
    <t>6.36</t>
  </si>
  <si>
    <t>2022-08</t>
  </si>
  <si>
    <t>30.55</t>
  </si>
  <si>
    <t>28.36</t>
  </si>
  <si>
    <t>17.11</t>
  </si>
  <si>
    <t>10.52</t>
  </si>
  <si>
    <t>6.25</t>
  </si>
  <si>
    <t>2022-09</t>
  </si>
  <si>
    <t>30.93</t>
  </si>
  <si>
    <t>28.43</t>
  </si>
  <si>
    <t>16.59</t>
  </si>
  <si>
    <t>10.25</t>
  </si>
  <si>
    <t>6.12</t>
  </si>
  <si>
    <t>2022-10</t>
  </si>
  <si>
    <t>28.95</t>
  </si>
  <si>
    <t>29.18</t>
  </si>
  <si>
    <t>18.47</t>
  </si>
  <si>
    <t>9.28</t>
  </si>
  <si>
    <t>6.64</t>
  </si>
  <si>
    <t>2022-11</t>
  </si>
  <si>
    <t>27.5</t>
  </si>
  <si>
    <t>29.87</t>
  </si>
  <si>
    <t>19.69</t>
  </si>
  <si>
    <t>8.83</t>
  </si>
  <si>
    <t>6.93</t>
  </si>
  <si>
    <t>3.22</t>
  </si>
  <si>
    <t>2022-12</t>
  </si>
  <si>
    <t>28.07</t>
  </si>
  <si>
    <t>29.41</t>
  </si>
  <si>
    <t>19.43</t>
  </si>
  <si>
    <t>2023-01</t>
  </si>
  <si>
    <t>29.07</t>
  </si>
  <si>
    <t>18.75</t>
  </si>
  <si>
    <t>6.9</t>
  </si>
  <si>
    <t>2023-02</t>
  </si>
  <si>
    <t>29.59</t>
  </si>
  <si>
    <t>29.48</t>
  </si>
  <si>
    <t>8.52</t>
  </si>
  <si>
    <t>6.73</t>
  </si>
  <si>
    <t>2023-03</t>
  </si>
  <si>
    <t>18.13</t>
  </si>
  <si>
    <t>6.56</t>
  </si>
  <si>
    <t>2023-04</t>
  </si>
  <si>
    <t>30.89</t>
  </si>
  <si>
    <t>28.83</t>
  </si>
  <si>
    <t>17.95</t>
  </si>
  <si>
    <t>8.65</t>
  </si>
  <si>
    <t>6.58</t>
  </si>
  <si>
    <t>2023-05</t>
  </si>
  <si>
    <t>33.94</t>
  </si>
  <si>
    <t>27.19</t>
  </si>
  <si>
    <t>17.3</t>
  </si>
  <si>
    <t>8.47</t>
  </si>
  <si>
    <t>6.16</t>
  </si>
  <si>
    <t>3.1</t>
  </si>
  <si>
    <t>2023-06</t>
  </si>
  <si>
    <t>34.47</t>
  </si>
  <si>
    <t>26.17</t>
  </si>
  <si>
    <t>17.06</t>
  </si>
  <si>
    <t>9.26</t>
  </si>
  <si>
    <t>5.91</t>
  </si>
  <si>
    <t>2023-07</t>
  </si>
  <si>
    <t>41.11</t>
  </si>
  <si>
    <t>23.93</t>
  </si>
  <si>
    <t>14.2</t>
  </si>
  <si>
    <t>9.42</t>
  </si>
  <si>
    <t>4.7</t>
  </si>
  <si>
    <t>2023-08</t>
  </si>
  <si>
    <t>41.95</t>
  </si>
  <si>
    <t>23.46</t>
  </si>
  <si>
    <t>13.89</t>
  </si>
  <si>
    <t>4.64</t>
  </si>
  <si>
    <t>2023-09</t>
  </si>
  <si>
    <t>39.75</t>
  </si>
  <si>
    <t>24.23</t>
  </si>
  <si>
    <t>14.49</t>
  </si>
  <si>
    <t>2023-10</t>
  </si>
  <si>
    <t>38.31</t>
  </si>
  <si>
    <t>15.11</t>
  </si>
  <si>
    <t>9.45</t>
  </si>
  <si>
    <t>5.01</t>
  </si>
  <si>
    <t>2023-11</t>
  </si>
  <si>
    <t>35.82</t>
  </si>
  <si>
    <t>25.62</t>
  </si>
  <si>
    <t>16.16</t>
  </si>
  <si>
    <t>9.65</t>
  </si>
  <si>
    <t>5.37</t>
  </si>
  <si>
    <t>2023-12</t>
  </si>
  <si>
    <t>35.49</t>
  </si>
  <si>
    <t>25.54</t>
  </si>
  <si>
    <t>16.12</t>
  </si>
  <si>
    <t>9.98</t>
  </si>
  <si>
    <t>5.48</t>
  </si>
  <si>
    <t>3.44</t>
  </si>
  <si>
    <t>2024-01</t>
  </si>
  <si>
    <t>34.5</t>
  </si>
  <si>
    <t>25.93</t>
  </si>
  <si>
    <t>16.71</t>
  </si>
  <si>
    <t>9.89</t>
  </si>
  <si>
    <t>5.59</t>
  </si>
  <si>
    <t>2024-02</t>
  </si>
  <si>
    <t>33.92</t>
  </si>
  <si>
    <t>25.73</t>
  </si>
  <si>
    <t>17.36</t>
  </si>
  <si>
    <t>9.77</t>
  </si>
  <si>
    <t>3.58</t>
  </si>
  <si>
    <t>2024-03</t>
  </si>
  <si>
    <t>34.14</t>
  </si>
  <si>
    <t>17.59</t>
  </si>
  <si>
    <t>5.82</t>
  </si>
  <si>
    <t>3.47</t>
  </si>
  <si>
    <t>2024-04</t>
  </si>
  <si>
    <t>33.13</t>
  </si>
  <si>
    <t>26.12</t>
  </si>
  <si>
    <t>17.93</t>
  </si>
  <si>
    <t>9.59</t>
  </si>
  <si>
    <t>6.06</t>
  </si>
  <si>
    <t>2024-05</t>
  </si>
  <si>
    <t>32.97</t>
  </si>
  <si>
    <t>18.2</t>
  </si>
  <si>
    <t>10.05</t>
  </si>
  <si>
    <t>3.46</t>
  </si>
  <si>
    <t>2024-06</t>
  </si>
  <si>
    <t>33.68</t>
  </si>
  <si>
    <t>25.23</t>
  </si>
  <si>
    <t>17.43</t>
  </si>
  <si>
    <t>10.09</t>
  </si>
  <si>
    <t>6.29</t>
  </si>
  <si>
    <t>2024-07</t>
  </si>
  <si>
    <t>33.78</t>
  </si>
  <si>
    <t>25.49</t>
  </si>
  <si>
    <t>17.24</t>
  </si>
  <si>
    <t>10.38</t>
  </si>
  <si>
    <t>5.87</t>
  </si>
  <si>
    <t>2024-08</t>
  </si>
  <si>
    <t>33.19</t>
  </si>
  <si>
    <t>26.11</t>
  </si>
  <si>
    <t>17.16</t>
  </si>
  <si>
    <t>5.68</t>
  </si>
  <si>
    <t>3.38</t>
  </si>
  <si>
    <t>2024-09</t>
  </si>
  <si>
    <t>30.88</t>
  </si>
  <si>
    <t>26.71</t>
  </si>
  <si>
    <t>18.32</t>
  </si>
  <si>
    <t>10.74</t>
  </si>
  <si>
    <t>2024-10</t>
  </si>
  <si>
    <t>30.3</t>
  </si>
  <si>
    <t>26.86</t>
  </si>
  <si>
    <t>18.31</t>
  </si>
  <si>
    <t>10.84</t>
  </si>
  <si>
    <t>6.11</t>
  </si>
  <si>
    <t>3.65</t>
  </si>
  <si>
    <t>2024-11</t>
  </si>
  <si>
    <t>33.82</t>
  </si>
  <si>
    <t>25.94</t>
  </si>
  <si>
    <t>17.18</t>
  </si>
  <si>
    <t>10.33</t>
  </si>
  <si>
    <t>5.64</t>
  </si>
  <si>
    <t>2024-12</t>
  </si>
  <si>
    <t>35.6</t>
  </si>
  <si>
    <t>16.45</t>
  </si>
  <si>
    <t>10.44</t>
  </si>
  <si>
    <t>2025-01</t>
  </si>
  <si>
    <t>39.94</t>
  </si>
  <si>
    <t>22.61</t>
  </si>
  <si>
    <t>14.95</t>
  </si>
  <si>
    <t>11.26</t>
  </si>
  <si>
    <t>4.72</t>
  </si>
  <si>
    <t>2025-02</t>
  </si>
  <si>
    <t>38.87</t>
  </si>
  <si>
    <t>23.48</t>
  </si>
  <si>
    <t>15.49</t>
  </si>
  <si>
    <t>2025-03</t>
  </si>
  <si>
    <t>39.46</t>
  </si>
  <si>
    <t>23.14</t>
  </si>
  <si>
    <t>15.44</t>
  </si>
  <si>
    <t>10.61</t>
  </si>
  <si>
    <t>4.79</t>
  </si>
  <si>
    <t>2025-04</t>
  </si>
  <si>
    <t>36.69</t>
  </si>
  <si>
    <t>24.46</t>
  </si>
  <si>
    <t>16.74</t>
  </si>
  <si>
    <t>2025-05</t>
  </si>
  <si>
    <t>24.47</t>
  </si>
  <si>
    <t>16.65</t>
  </si>
  <si>
    <t>10.08</t>
  </si>
  <si>
    <t>5.13</t>
  </si>
  <si>
    <t>2025-06</t>
  </si>
  <si>
    <t>38.76</t>
  </si>
  <si>
    <t>15.87</t>
  </si>
  <si>
    <t>9.95</t>
  </si>
  <si>
    <t>2025-07</t>
  </si>
  <si>
    <t>39.29</t>
  </si>
  <si>
    <t>23.96</t>
  </si>
  <si>
    <t>15.01</t>
  </si>
  <si>
    <t>9.99</t>
  </si>
  <si>
    <t>4.74</t>
  </si>
  <si>
    <t>2025-08</t>
  </si>
  <si>
    <t>39.13</t>
  </si>
  <si>
    <t>24.07</t>
  </si>
  <si>
    <t>14.76</t>
  </si>
  <si>
    <t>10.36</t>
  </si>
  <si>
    <t>4.63</t>
  </si>
  <si>
    <t>2025-09</t>
  </si>
  <si>
    <t>14.46</t>
  </si>
  <si>
    <t>10.37</t>
  </si>
  <si>
    <t>2025-10</t>
  </si>
  <si>
    <t>40.16</t>
  </si>
  <si>
    <t>22.92</t>
  </si>
  <si>
    <t>13.94</t>
  </si>
  <si>
    <t>4.48</t>
  </si>
  <si>
    <t>1.32</t>
  </si>
  <si>
    <t>2025-11</t>
  </si>
  <si>
    <t>40.96</t>
  </si>
  <si>
    <t>22.89</t>
  </si>
  <si>
    <t>13.69</t>
  </si>
  <si>
    <t>10.63</t>
  </si>
  <si>
    <t>4.24</t>
  </si>
  <si>
    <t>2025-12</t>
  </si>
  <si>
    <t>42.68</t>
  </si>
  <si>
    <t>21.99</t>
  </si>
  <si>
    <t>13.57</t>
  </si>
  <si>
    <t>4.22</t>
  </si>
  <si>
    <t>2026-01</t>
  </si>
  <si>
    <t>42.82</t>
  </si>
  <si>
    <t>21.78</t>
  </si>
  <si>
    <t>13.73</t>
  </si>
  <si>
    <t>10.18</t>
  </si>
  <si>
    <t>2026-02</t>
  </si>
  <si>
    <t>41.31</t>
  </si>
  <si>
    <t>21.7</t>
  </si>
  <si>
    <t>14.84</t>
  </si>
  <si>
    <t>10.56</t>
  </si>
  <si>
    <t>4.39</t>
  </si>
  <si>
    <t>2026-03</t>
  </si>
  <si>
    <t>41.73</t>
  </si>
  <si>
    <t>21.92</t>
  </si>
  <si>
    <t>14.57</t>
  </si>
  <si>
    <t>2026-04</t>
  </si>
  <si>
    <t>41.76</t>
  </si>
  <si>
    <t>20.54</t>
  </si>
  <si>
    <t>15.57</t>
  </si>
  <si>
    <t>10.47</t>
  </si>
  <si>
    <t>4.62</t>
  </si>
  <si>
    <t>2026-05</t>
  </si>
  <si>
    <t>39.38</t>
  </si>
  <si>
    <t>21.35</t>
  </si>
  <si>
    <t>15.85</t>
  </si>
  <si>
    <t>10.21</t>
  </si>
  <si>
    <t>2026-06</t>
  </si>
  <si>
    <t>39.3</t>
  </si>
  <si>
    <t>21.34</t>
  </si>
  <si>
    <t>16.73</t>
  </si>
  <si>
    <t>2026-07</t>
  </si>
  <si>
    <t>21.23</t>
  </si>
  <si>
    <t>17.29</t>
  </si>
  <si>
    <t>10.13</t>
  </si>
  <si>
    <t>5.07</t>
  </si>
  <si>
    <t>2010-03</t>
  </si>
  <si>
    <t xml:space="preserve">Year 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</si>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</sst>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5877-43EF-4239-8E2D-F9E4A52BE9AE}">
  <dimension ref="A1:AK198"/>
  <sheetViews>
    <sheetView tabSelected="1" workbookViewId="0">
      <selection sqref="A1:AK1"/>
    </sheetView>
  </sheetViews>
  <sheetFormatPr defaultRowHeight="15" x14ac:dyDescent="0.25"/>
  <sheetData>
    <row r="1" spans="1:37" x14ac:dyDescent="0.25">
      <c r="A1" t="s">
        <v>0</v>
      </c>
      <c r="B1" t="s">
        <v>1317</v>
      </c>
      <c r="C1" t="s">
        <v>1318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1:37" x14ac:dyDescent="0.25">
      <c r="A2" t="s">
        <v>35</v>
      </c>
      <c r="B2" t="str">
        <f>LEFT(A2,4)</f>
        <v>2010</v>
      </c>
      <c r="C2" t="str">
        <f>RIGHT(A2,2)</f>
        <v>04</v>
      </c>
      <c r="D2" t="s">
        <v>36</v>
      </c>
      <c r="E2" t="s">
        <v>37</v>
      </c>
      <c r="F2">
        <v>0</v>
      </c>
      <c r="G2">
        <v>0</v>
      </c>
      <c r="H2">
        <v>0</v>
      </c>
      <c r="I2" t="s">
        <v>38</v>
      </c>
      <c r="J2">
        <v>0</v>
      </c>
      <c r="K2">
        <v>0</v>
      </c>
      <c r="L2">
        <v>0</v>
      </c>
      <c r="M2" t="s">
        <v>39</v>
      </c>
      <c r="N2">
        <v>0</v>
      </c>
      <c r="O2" t="s">
        <v>40</v>
      </c>
      <c r="P2">
        <v>0</v>
      </c>
      <c r="Q2" t="s">
        <v>41</v>
      </c>
      <c r="R2">
        <v>0</v>
      </c>
      <c r="S2" t="s">
        <v>42</v>
      </c>
      <c r="T2">
        <v>0</v>
      </c>
      <c r="U2" t="s">
        <v>43</v>
      </c>
      <c r="V2" t="s">
        <v>44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">
        <v>45</v>
      </c>
    </row>
    <row r="3" spans="1:37" x14ac:dyDescent="0.25">
      <c r="A3" t="s">
        <v>46</v>
      </c>
      <c r="B3" t="str">
        <f t="shared" ref="B3:B66" si="0">LEFT(A3,4)</f>
        <v>2010</v>
      </c>
      <c r="C3" t="str">
        <f t="shared" ref="C3:C66" si="1">RIGHT(A3,2)</f>
        <v>05</v>
      </c>
      <c r="D3" t="s">
        <v>47</v>
      </c>
      <c r="E3" t="s">
        <v>48</v>
      </c>
      <c r="F3">
        <v>0</v>
      </c>
      <c r="G3">
        <v>0</v>
      </c>
      <c r="H3">
        <v>0</v>
      </c>
      <c r="I3" t="s">
        <v>49</v>
      </c>
      <c r="J3">
        <v>0</v>
      </c>
      <c r="K3">
        <v>0</v>
      </c>
      <c r="L3">
        <v>0</v>
      </c>
      <c r="M3" t="s">
        <v>50</v>
      </c>
      <c r="N3">
        <v>0</v>
      </c>
      <c r="O3" t="s">
        <v>51</v>
      </c>
      <c r="P3">
        <v>0</v>
      </c>
      <c r="Q3" t="s">
        <v>52</v>
      </c>
      <c r="R3">
        <v>0</v>
      </c>
      <c r="S3" t="s">
        <v>53</v>
      </c>
      <c r="T3">
        <v>0</v>
      </c>
      <c r="U3" t="s">
        <v>54</v>
      </c>
      <c r="V3" t="s">
        <v>55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56</v>
      </c>
    </row>
    <row r="4" spans="1:37" x14ac:dyDescent="0.25">
      <c r="A4" t="s">
        <v>57</v>
      </c>
      <c r="B4" t="str">
        <f t="shared" si="0"/>
        <v>2010</v>
      </c>
      <c r="C4" t="str">
        <f t="shared" si="1"/>
        <v>06</v>
      </c>
      <c r="D4" t="s">
        <v>58</v>
      </c>
      <c r="E4" t="s">
        <v>59</v>
      </c>
      <c r="F4">
        <v>0</v>
      </c>
      <c r="G4">
        <v>0</v>
      </c>
      <c r="H4">
        <v>0</v>
      </c>
      <c r="I4" t="s">
        <v>60</v>
      </c>
      <c r="J4">
        <v>0</v>
      </c>
      <c r="K4">
        <v>0</v>
      </c>
      <c r="L4">
        <v>0</v>
      </c>
      <c r="M4" t="s">
        <v>61</v>
      </c>
      <c r="N4">
        <v>0</v>
      </c>
      <c r="O4" t="s">
        <v>62</v>
      </c>
      <c r="P4">
        <v>0</v>
      </c>
      <c r="Q4" t="s">
        <v>63</v>
      </c>
      <c r="R4">
        <v>0</v>
      </c>
      <c r="S4" t="s">
        <v>64</v>
      </c>
      <c r="T4">
        <v>0</v>
      </c>
      <c r="U4" t="s">
        <v>65</v>
      </c>
      <c r="V4" t="s">
        <v>40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66</v>
      </c>
    </row>
    <row r="5" spans="1:37" x14ac:dyDescent="0.25">
      <c r="A5" t="s">
        <v>67</v>
      </c>
      <c r="B5" t="str">
        <f t="shared" si="0"/>
        <v>2010</v>
      </c>
      <c r="C5" t="str">
        <f t="shared" si="1"/>
        <v>07</v>
      </c>
      <c r="D5" t="s">
        <v>68</v>
      </c>
      <c r="E5" t="s">
        <v>69</v>
      </c>
      <c r="F5">
        <v>0</v>
      </c>
      <c r="G5">
        <v>0</v>
      </c>
      <c r="H5">
        <v>0</v>
      </c>
      <c r="I5" t="s">
        <v>70</v>
      </c>
      <c r="J5">
        <v>0</v>
      </c>
      <c r="K5">
        <v>0</v>
      </c>
      <c r="L5">
        <v>0</v>
      </c>
      <c r="M5" t="s">
        <v>71</v>
      </c>
      <c r="N5">
        <v>0</v>
      </c>
      <c r="O5" t="s">
        <v>72</v>
      </c>
      <c r="P5">
        <v>0</v>
      </c>
      <c r="Q5" t="s">
        <v>52</v>
      </c>
      <c r="R5">
        <v>0</v>
      </c>
      <c r="S5" t="s">
        <v>73</v>
      </c>
      <c r="T5">
        <v>0</v>
      </c>
      <c r="U5" t="s">
        <v>74</v>
      </c>
      <c r="V5" t="s">
        <v>75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76</v>
      </c>
    </row>
    <row r="6" spans="1:37" x14ac:dyDescent="0.25">
      <c r="A6" t="s">
        <v>77</v>
      </c>
      <c r="B6" t="str">
        <f t="shared" si="0"/>
        <v>2010</v>
      </c>
      <c r="C6" t="str">
        <f t="shared" si="1"/>
        <v>08</v>
      </c>
      <c r="D6" t="s">
        <v>78</v>
      </c>
      <c r="E6" t="s">
        <v>79</v>
      </c>
      <c r="F6">
        <v>0</v>
      </c>
      <c r="G6">
        <v>0</v>
      </c>
      <c r="H6">
        <v>0</v>
      </c>
      <c r="I6" t="s">
        <v>80</v>
      </c>
      <c r="J6">
        <v>0</v>
      </c>
      <c r="K6">
        <v>0</v>
      </c>
      <c r="L6">
        <v>0</v>
      </c>
      <c r="M6" t="s">
        <v>81</v>
      </c>
      <c r="N6">
        <v>0</v>
      </c>
      <c r="O6" t="s">
        <v>45</v>
      </c>
      <c r="P6">
        <v>0</v>
      </c>
      <c r="Q6" t="s">
        <v>52</v>
      </c>
      <c r="R6">
        <v>0</v>
      </c>
      <c r="S6" t="s">
        <v>73</v>
      </c>
      <c r="T6">
        <v>0</v>
      </c>
      <c r="U6" t="s">
        <v>82</v>
      </c>
      <c r="V6" t="s">
        <v>62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">
        <v>56</v>
      </c>
    </row>
    <row r="7" spans="1:37" x14ac:dyDescent="0.25">
      <c r="A7" t="s">
        <v>83</v>
      </c>
      <c r="B7" t="str">
        <f t="shared" si="0"/>
        <v>2010</v>
      </c>
      <c r="C7" t="str">
        <f t="shared" si="1"/>
        <v>09</v>
      </c>
      <c r="D7" t="s">
        <v>84</v>
      </c>
      <c r="E7" t="s">
        <v>85</v>
      </c>
      <c r="F7">
        <v>0</v>
      </c>
      <c r="G7">
        <v>0</v>
      </c>
      <c r="H7">
        <v>0</v>
      </c>
      <c r="I7" t="s">
        <v>86</v>
      </c>
      <c r="J7">
        <v>0</v>
      </c>
      <c r="K7">
        <v>0</v>
      </c>
      <c r="L7">
        <v>0</v>
      </c>
      <c r="M7" t="s">
        <v>87</v>
      </c>
      <c r="N7">
        <v>0</v>
      </c>
      <c r="O7" t="s">
        <v>75</v>
      </c>
      <c r="P7">
        <v>0</v>
      </c>
      <c r="Q7" t="s">
        <v>52</v>
      </c>
      <c r="R7">
        <v>0</v>
      </c>
      <c r="S7" t="s">
        <v>88</v>
      </c>
      <c r="T7">
        <v>0</v>
      </c>
      <c r="U7" t="s">
        <v>89</v>
      </c>
      <c r="V7" t="s">
        <v>90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91</v>
      </c>
    </row>
    <row r="8" spans="1:37" x14ac:dyDescent="0.25">
      <c r="A8" t="s">
        <v>92</v>
      </c>
      <c r="B8" t="str">
        <f t="shared" si="0"/>
        <v>2010</v>
      </c>
      <c r="C8" t="str">
        <f t="shared" si="1"/>
        <v>10</v>
      </c>
      <c r="D8" t="s">
        <v>93</v>
      </c>
      <c r="E8" t="s">
        <v>94</v>
      </c>
      <c r="F8">
        <v>0</v>
      </c>
      <c r="G8">
        <v>0</v>
      </c>
      <c r="H8">
        <v>0</v>
      </c>
      <c r="I8" t="s">
        <v>95</v>
      </c>
      <c r="J8">
        <v>0</v>
      </c>
      <c r="K8">
        <v>0</v>
      </c>
      <c r="L8">
        <v>0</v>
      </c>
      <c r="M8" t="s">
        <v>81</v>
      </c>
      <c r="N8">
        <v>0</v>
      </c>
      <c r="O8" t="s">
        <v>76</v>
      </c>
      <c r="P8">
        <v>0</v>
      </c>
      <c r="Q8" t="s">
        <v>52</v>
      </c>
      <c r="R8">
        <v>0</v>
      </c>
      <c r="S8" t="s">
        <v>53</v>
      </c>
      <c r="T8">
        <v>0</v>
      </c>
      <c r="U8" t="s">
        <v>96</v>
      </c>
      <c r="V8" t="s">
        <v>97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91</v>
      </c>
    </row>
    <row r="9" spans="1:37" x14ac:dyDescent="0.25">
      <c r="A9" t="s">
        <v>98</v>
      </c>
      <c r="B9" t="str">
        <f t="shared" si="0"/>
        <v>2010</v>
      </c>
      <c r="C9" t="str">
        <f t="shared" si="1"/>
        <v>11</v>
      </c>
      <c r="D9" t="s">
        <v>99</v>
      </c>
      <c r="E9" t="s">
        <v>100</v>
      </c>
      <c r="F9">
        <v>0</v>
      </c>
      <c r="G9">
        <v>0</v>
      </c>
      <c r="H9">
        <v>0</v>
      </c>
      <c r="I9" t="s">
        <v>101</v>
      </c>
      <c r="J9">
        <v>0</v>
      </c>
      <c r="K9">
        <v>0</v>
      </c>
      <c r="L9">
        <v>0</v>
      </c>
      <c r="M9" t="s">
        <v>102</v>
      </c>
      <c r="N9">
        <v>0</v>
      </c>
      <c r="O9" t="s">
        <v>103</v>
      </c>
      <c r="P9">
        <v>0</v>
      </c>
      <c r="Q9" t="s">
        <v>52</v>
      </c>
      <c r="R9">
        <v>0</v>
      </c>
      <c r="S9" t="s">
        <v>104</v>
      </c>
      <c r="T9">
        <v>0</v>
      </c>
      <c r="U9" t="s">
        <v>105</v>
      </c>
      <c r="V9" t="s">
        <v>106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107</v>
      </c>
    </row>
    <row r="10" spans="1:37" x14ac:dyDescent="0.25">
      <c r="A10" t="s">
        <v>108</v>
      </c>
      <c r="B10" t="str">
        <f t="shared" si="0"/>
        <v>2010</v>
      </c>
      <c r="C10" t="str">
        <f t="shared" si="1"/>
        <v>12</v>
      </c>
      <c r="D10" t="s">
        <v>109</v>
      </c>
      <c r="E10" t="s">
        <v>110</v>
      </c>
      <c r="F10">
        <v>0</v>
      </c>
      <c r="G10">
        <v>0</v>
      </c>
      <c r="H10">
        <v>0</v>
      </c>
      <c r="I10" t="s">
        <v>111</v>
      </c>
      <c r="J10">
        <v>0</v>
      </c>
      <c r="K10">
        <v>0</v>
      </c>
      <c r="L10">
        <v>0</v>
      </c>
      <c r="M10" t="s">
        <v>112</v>
      </c>
      <c r="N10">
        <v>0</v>
      </c>
      <c r="O10" t="s">
        <v>40</v>
      </c>
      <c r="P10">
        <v>0</v>
      </c>
      <c r="Q10" t="s">
        <v>113</v>
      </c>
      <c r="R10">
        <v>0</v>
      </c>
      <c r="S10" t="s">
        <v>64</v>
      </c>
      <c r="T10">
        <v>0</v>
      </c>
      <c r="U10" t="s">
        <v>114</v>
      </c>
      <c r="V10" t="s">
        <v>91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88</v>
      </c>
    </row>
    <row r="11" spans="1:37" x14ac:dyDescent="0.25">
      <c r="A11" t="s">
        <v>115</v>
      </c>
      <c r="B11" t="str">
        <f t="shared" si="0"/>
        <v>2011</v>
      </c>
      <c r="C11" t="str">
        <f t="shared" si="1"/>
        <v>01</v>
      </c>
      <c r="D11" t="s">
        <v>116</v>
      </c>
      <c r="E11" t="s">
        <v>117</v>
      </c>
      <c r="F11">
        <v>0</v>
      </c>
      <c r="G11">
        <v>0</v>
      </c>
      <c r="H11">
        <v>0</v>
      </c>
      <c r="I11" t="s">
        <v>118</v>
      </c>
      <c r="J11">
        <v>0</v>
      </c>
      <c r="K11">
        <v>0</v>
      </c>
      <c r="L11">
        <v>0</v>
      </c>
      <c r="M11" t="s">
        <v>48</v>
      </c>
      <c r="N11">
        <v>0</v>
      </c>
      <c r="O11" t="s">
        <v>56</v>
      </c>
      <c r="P11">
        <v>0</v>
      </c>
      <c r="Q11" t="s">
        <v>119</v>
      </c>
      <c r="R11">
        <v>0</v>
      </c>
      <c r="S11" t="s">
        <v>120</v>
      </c>
      <c r="T11">
        <v>0</v>
      </c>
      <c r="U11" t="s">
        <v>121</v>
      </c>
      <c r="V11" t="s">
        <v>107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s">
        <v>88</v>
      </c>
    </row>
    <row r="12" spans="1:37" x14ac:dyDescent="0.25">
      <c r="A12" t="s">
        <v>122</v>
      </c>
      <c r="B12" t="str">
        <f t="shared" si="0"/>
        <v>2011</v>
      </c>
      <c r="C12" t="str">
        <f t="shared" si="1"/>
        <v>02</v>
      </c>
      <c r="D12">
        <v>16</v>
      </c>
      <c r="E12" t="s">
        <v>123</v>
      </c>
      <c r="F12">
        <v>0</v>
      </c>
      <c r="G12">
        <v>0</v>
      </c>
      <c r="H12">
        <v>0</v>
      </c>
      <c r="I12" t="s">
        <v>124</v>
      </c>
      <c r="J12">
        <v>0</v>
      </c>
      <c r="K12">
        <v>0</v>
      </c>
      <c r="L12">
        <v>0</v>
      </c>
      <c r="M12" t="s">
        <v>125</v>
      </c>
      <c r="N12">
        <v>0</v>
      </c>
      <c r="O12" t="s">
        <v>126</v>
      </c>
      <c r="P12">
        <v>0</v>
      </c>
      <c r="Q12" t="s">
        <v>104</v>
      </c>
      <c r="R12">
        <v>0</v>
      </c>
      <c r="S12" t="s">
        <v>64</v>
      </c>
      <c r="T12">
        <v>0</v>
      </c>
      <c r="U12" t="s">
        <v>127</v>
      </c>
      <c r="V12" t="s">
        <v>128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s">
        <v>41</v>
      </c>
    </row>
    <row r="13" spans="1:37" x14ac:dyDescent="0.25">
      <c r="A13" t="s">
        <v>129</v>
      </c>
      <c r="B13" t="str">
        <f t="shared" si="0"/>
        <v>2011</v>
      </c>
      <c r="C13" t="str">
        <f t="shared" si="1"/>
        <v>03</v>
      </c>
      <c r="D13" t="s">
        <v>130</v>
      </c>
      <c r="E13" t="s">
        <v>131</v>
      </c>
      <c r="F13">
        <v>0</v>
      </c>
      <c r="G13">
        <v>0</v>
      </c>
      <c r="H13">
        <v>0</v>
      </c>
      <c r="I13" t="s">
        <v>132</v>
      </c>
      <c r="J13">
        <v>0</v>
      </c>
      <c r="K13">
        <v>0</v>
      </c>
      <c r="L13">
        <v>0</v>
      </c>
      <c r="M13" t="s">
        <v>133</v>
      </c>
      <c r="N13">
        <v>0</v>
      </c>
      <c r="O13" t="s">
        <v>134</v>
      </c>
      <c r="P13">
        <v>0</v>
      </c>
      <c r="Q13" t="s">
        <v>128</v>
      </c>
      <c r="R13">
        <v>0</v>
      </c>
      <c r="S13" t="s">
        <v>64</v>
      </c>
      <c r="T13">
        <v>0</v>
      </c>
      <c r="U13" t="s">
        <v>135</v>
      </c>
      <c r="V13" t="s">
        <v>128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s">
        <v>64</v>
      </c>
    </row>
    <row r="14" spans="1:37" x14ac:dyDescent="0.25">
      <c r="A14" t="s">
        <v>136</v>
      </c>
      <c r="B14" t="str">
        <f t="shared" si="0"/>
        <v>2011</v>
      </c>
      <c r="C14" t="str">
        <f t="shared" si="1"/>
        <v>04</v>
      </c>
      <c r="D14" t="s">
        <v>137</v>
      </c>
      <c r="E14" t="s">
        <v>138</v>
      </c>
      <c r="F14">
        <v>0</v>
      </c>
      <c r="G14">
        <v>0</v>
      </c>
      <c r="H14">
        <v>0</v>
      </c>
      <c r="I14" t="s">
        <v>139</v>
      </c>
      <c r="J14">
        <v>0</v>
      </c>
      <c r="K14">
        <v>0</v>
      </c>
      <c r="L14">
        <v>0</v>
      </c>
      <c r="M14" t="s">
        <v>133</v>
      </c>
      <c r="N14">
        <v>0</v>
      </c>
      <c r="O14" t="s">
        <v>106</v>
      </c>
      <c r="P14">
        <v>0</v>
      </c>
      <c r="Q14" t="s">
        <v>73</v>
      </c>
      <c r="R14">
        <v>0</v>
      </c>
      <c r="S14" t="s">
        <v>64</v>
      </c>
      <c r="T14">
        <v>0</v>
      </c>
      <c r="U14" t="s">
        <v>140</v>
      </c>
      <c r="V14" t="s">
        <v>104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s">
        <v>128</v>
      </c>
    </row>
    <row r="15" spans="1:37" x14ac:dyDescent="0.25">
      <c r="A15" t="s">
        <v>141</v>
      </c>
      <c r="B15" t="str">
        <f t="shared" si="0"/>
        <v>2011</v>
      </c>
      <c r="C15" t="str">
        <f t="shared" si="1"/>
        <v>05</v>
      </c>
      <c r="D15" t="s">
        <v>142</v>
      </c>
      <c r="E15" t="s">
        <v>143</v>
      </c>
      <c r="F15">
        <v>0</v>
      </c>
      <c r="G15">
        <v>0</v>
      </c>
      <c r="H15">
        <v>0</v>
      </c>
      <c r="I15" t="s">
        <v>144</v>
      </c>
      <c r="J15">
        <v>0</v>
      </c>
      <c r="K15">
        <v>0</v>
      </c>
      <c r="L15">
        <v>0</v>
      </c>
      <c r="M15" t="s">
        <v>145</v>
      </c>
      <c r="N15">
        <v>0</v>
      </c>
      <c r="O15" t="s">
        <v>42</v>
      </c>
      <c r="P15">
        <v>0</v>
      </c>
      <c r="Q15" t="s">
        <v>53</v>
      </c>
      <c r="R15">
        <v>0</v>
      </c>
      <c r="S15" t="s">
        <v>104</v>
      </c>
      <c r="T15">
        <v>0</v>
      </c>
      <c r="U15" t="s">
        <v>146</v>
      </c>
      <c r="V15" t="s">
        <v>128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104</v>
      </c>
    </row>
    <row r="16" spans="1:37" x14ac:dyDescent="0.25">
      <c r="A16" t="s">
        <v>147</v>
      </c>
      <c r="B16" t="str">
        <f t="shared" si="0"/>
        <v>2011</v>
      </c>
      <c r="C16" t="str">
        <f t="shared" si="1"/>
        <v>06</v>
      </c>
      <c r="D16" t="s">
        <v>148</v>
      </c>
      <c r="E16" t="s">
        <v>149</v>
      </c>
      <c r="F16">
        <v>0</v>
      </c>
      <c r="G16">
        <v>0</v>
      </c>
      <c r="H16">
        <v>0</v>
      </c>
      <c r="I16" t="s">
        <v>150</v>
      </c>
      <c r="J16">
        <v>0</v>
      </c>
      <c r="K16">
        <v>0</v>
      </c>
      <c r="L16">
        <v>0</v>
      </c>
      <c r="M16" t="s">
        <v>151</v>
      </c>
      <c r="N16">
        <v>0</v>
      </c>
      <c r="O16" t="s">
        <v>66</v>
      </c>
      <c r="P16">
        <v>0</v>
      </c>
      <c r="Q16" t="s">
        <v>152</v>
      </c>
      <c r="R16">
        <v>0</v>
      </c>
      <c r="S16" t="s">
        <v>64</v>
      </c>
      <c r="T16">
        <v>0</v>
      </c>
      <c r="U16" t="s">
        <v>153</v>
      </c>
      <c r="V16" t="s">
        <v>104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120</v>
      </c>
    </row>
    <row r="17" spans="1:37" x14ac:dyDescent="0.25">
      <c r="A17" t="s">
        <v>154</v>
      </c>
      <c r="B17" t="str">
        <f t="shared" si="0"/>
        <v>2011</v>
      </c>
      <c r="C17" t="str">
        <f t="shared" si="1"/>
        <v>07</v>
      </c>
      <c r="D17" t="s">
        <v>155</v>
      </c>
      <c r="E17" t="s">
        <v>156</v>
      </c>
      <c r="F17">
        <v>0</v>
      </c>
      <c r="G17">
        <v>0</v>
      </c>
      <c r="H17">
        <v>0</v>
      </c>
      <c r="I17" t="s">
        <v>157</v>
      </c>
      <c r="J17">
        <v>0</v>
      </c>
      <c r="K17">
        <v>0</v>
      </c>
      <c r="L17">
        <v>0</v>
      </c>
      <c r="M17" t="s">
        <v>158</v>
      </c>
      <c r="N17">
        <v>0</v>
      </c>
      <c r="O17" t="s">
        <v>152</v>
      </c>
      <c r="P17">
        <v>0</v>
      </c>
      <c r="Q17" t="s">
        <v>103</v>
      </c>
      <c r="R17">
        <v>0</v>
      </c>
      <c r="S17" t="s">
        <v>104</v>
      </c>
      <c r="T17">
        <v>0</v>
      </c>
      <c r="U17" t="s">
        <v>159</v>
      </c>
      <c r="V17" t="s">
        <v>128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119</v>
      </c>
    </row>
    <row r="18" spans="1:37" x14ac:dyDescent="0.25">
      <c r="A18" t="s">
        <v>160</v>
      </c>
      <c r="B18" t="str">
        <f t="shared" si="0"/>
        <v>2011</v>
      </c>
      <c r="C18" t="str">
        <f t="shared" si="1"/>
        <v>08</v>
      </c>
      <c r="D18" t="s">
        <v>161</v>
      </c>
      <c r="E18" t="s">
        <v>162</v>
      </c>
      <c r="F18">
        <v>0</v>
      </c>
      <c r="G18">
        <v>0</v>
      </c>
      <c r="H18">
        <v>0</v>
      </c>
      <c r="I18" t="s">
        <v>163</v>
      </c>
      <c r="J18">
        <v>0</v>
      </c>
      <c r="K18">
        <v>0</v>
      </c>
      <c r="L18">
        <v>0</v>
      </c>
      <c r="M18" t="s">
        <v>158</v>
      </c>
      <c r="N18">
        <v>0</v>
      </c>
      <c r="O18" t="s">
        <v>53</v>
      </c>
      <c r="P18">
        <v>0</v>
      </c>
      <c r="Q18" t="s">
        <v>51</v>
      </c>
      <c r="R18">
        <v>0</v>
      </c>
      <c r="S18" t="s">
        <v>64</v>
      </c>
      <c r="T18">
        <v>0</v>
      </c>
      <c r="U18" t="s">
        <v>164</v>
      </c>
      <c r="V18" t="s">
        <v>120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119</v>
      </c>
    </row>
    <row r="19" spans="1:37" x14ac:dyDescent="0.25">
      <c r="A19" t="s">
        <v>165</v>
      </c>
      <c r="B19" t="str">
        <f t="shared" si="0"/>
        <v>2011</v>
      </c>
      <c r="C19" t="str">
        <f t="shared" si="1"/>
        <v>09</v>
      </c>
      <c r="D19" t="s">
        <v>166</v>
      </c>
      <c r="E19" t="s">
        <v>167</v>
      </c>
      <c r="F19">
        <v>0</v>
      </c>
      <c r="G19">
        <v>0</v>
      </c>
      <c r="H19">
        <v>0</v>
      </c>
      <c r="I19" t="s">
        <v>168</v>
      </c>
      <c r="J19">
        <v>0</v>
      </c>
      <c r="K19">
        <v>0</v>
      </c>
      <c r="L19">
        <v>0</v>
      </c>
      <c r="M19" t="s">
        <v>169</v>
      </c>
      <c r="N19">
        <v>0</v>
      </c>
      <c r="O19" t="s">
        <v>107</v>
      </c>
      <c r="P19">
        <v>0</v>
      </c>
      <c r="Q19" t="s">
        <v>72</v>
      </c>
      <c r="R19">
        <v>0</v>
      </c>
      <c r="S19" t="s">
        <v>104</v>
      </c>
      <c r="T19">
        <v>0</v>
      </c>
      <c r="U19" t="s">
        <v>170</v>
      </c>
      <c r="V19" t="s">
        <v>171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s">
        <v>171</v>
      </c>
    </row>
    <row r="20" spans="1:37" x14ac:dyDescent="0.25">
      <c r="A20" t="s">
        <v>172</v>
      </c>
      <c r="B20" t="str">
        <f t="shared" si="0"/>
        <v>2011</v>
      </c>
      <c r="C20" t="str">
        <f t="shared" si="1"/>
        <v>10</v>
      </c>
      <c r="D20" t="s">
        <v>173</v>
      </c>
      <c r="E20" t="s">
        <v>174</v>
      </c>
      <c r="F20">
        <v>0</v>
      </c>
      <c r="G20">
        <v>0</v>
      </c>
      <c r="H20">
        <v>0</v>
      </c>
      <c r="I20" t="s">
        <v>175</v>
      </c>
      <c r="J20">
        <v>0</v>
      </c>
      <c r="K20">
        <v>0</v>
      </c>
      <c r="L20">
        <v>0</v>
      </c>
      <c r="M20" t="s">
        <v>176</v>
      </c>
      <c r="N20">
        <v>0</v>
      </c>
      <c r="O20" t="s">
        <v>177</v>
      </c>
      <c r="P20">
        <v>0</v>
      </c>
      <c r="Q20" t="s">
        <v>178</v>
      </c>
      <c r="R20">
        <v>0</v>
      </c>
      <c r="S20" t="s">
        <v>119</v>
      </c>
      <c r="T20">
        <v>0</v>
      </c>
      <c r="U20" t="s">
        <v>179</v>
      </c>
      <c r="V20" t="s">
        <v>107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119</v>
      </c>
    </row>
    <row r="21" spans="1:37" x14ac:dyDescent="0.25">
      <c r="A21" t="s">
        <v>180</v>
      </c>
      <c r="B21" t="str">
        <f t="shared" si="0"/>
        <v>2011</v>
      </c>
      <c r="C21" t="str">
        <f t="shared" si="1"/>
        <v>11</v>
      </c>
      <c r="D21" t="s">
        <v>181</v>
      </c>
      <c r="E21" t="s">
        <v>182</v>
      </c>
      <c r="F21">
        <v>0</v>
      </c>
      <c r="G21">
        <v>0</v>
      </c>
      <c r="H21">
        <v>0</v>
      </c>
      <c r="I21" t="s">
        <v>183</v>
      </c>
      <c r="J21">
        <v>0</v>
      </c>
      <c r="K21">
        <v>0</v>
      </c>
      <c r="L21">
        <v>0</v>
      </c>
      <c r="M21" t="s">
        <v>184</v>
      </c>
      <c r="N21">
        <v>0</v>
      </c>
      <c r="O21" t="s">
        <v>185</v>
      </c>
      <c r="P21">
        <v>0</v>
      </c>
      <c r="Q21" t="s">
        <v>186</v>
      </c>
      <c r="R21">
        <v>0</v>
      </c>
      <c r="S21" t="s">
        <v>41</v>
      </c>
      <c r="T21">
        <v>0</v>
      </c>
      <c r="U21" t="s">
        <v>187</v>
      </c>
      <c r="V21" t="s">
        <v>128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188</v>
      </c>
    </row>
    <row r="22" spans="1:37" x14ac:dyDescent="0.25">
      <c r="A22" t="s">
        <v>189</v>
      </c>
      <c r="B22" t="str">
        <f t="shared" si="0"/>
        <v>2011</v>
      </c>
      <c r="C22" t="str">
        <f t="shared" si="1"/>
        <v>12</v>
      </c>
      <c r="D22" t="s">
        <v>190</v>
      </c>
      <c r="E22" t="s">
        <v>191</v>
      </c>
      <c r="F22">
        <v>0</v>
      </c>
      <c r="G22">
        <v>0</v>
      </c>
      <c r="H22">
        <v>0</v>
      </c>
      <c r="I22" t="s">
        <v>192</v>
      </c>
      <c r="J22">
        <v>0</v>
      </c>
      <c r="K22">
        <v>0</v>
      </c>
      <c r="L22">
        <v>0</v>
      </c>
      <c r="M22" t="s">
        <v>114</v>
      </c>
      <c r="N22">
        <v>0</v>
      </c>
      <c r="O22" t="s">
        <v>193</v>
      </c>
      <c r="P22">
        <v>0</v>
      </c>
      <c r="Q22" t="s">
        <v>194</v>
      </c>
      <c r="R22">
        <v>0</v>
      </c>
      <c r="S22" t="s">
        <v>171</v>
      </c>
      <c r="T22">
        <v>0</v>
      </c>
      <c r="U22" t="s">
        <v>195</v>
      </c>
      <c r="V22" t="s">
        <v>64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52</v>
      </c>
    </row>
    <row r="23" spans="1:37" x14ac:dyDescent="0.25">
      <c r="A23" t="s">
        <v>196</v>
      </c>
      <c r="B23" t="str">
        <f t="shared" si="0"/>
        <v>2012</v>
      </c>
      <c r="C23" t="str">
        <f t="shared" si="1"/>
        <v>01</v>
      </c>
      <c r="D23" t="s">
        <v>197</v>
      </c>
      <c r="E23" t="s">
        <v>191</v>
      </c>
      <c r="F23">
        <v>0</v>
      </c>
      <c r="G23">
        <v>0</v>
      </c>
      <c r="H23">
        <v>0</v>
      </c>
      <c r="I23" t="s">
        <v>198</v>
      </c>
      <c r="J23">
        <v>0</v>
      </c>
      <c r="K23">
        <v>0</v>
      </c>
      <c r="L23">
        <v>0</v>
      </c>
      <c r="M23" t="s">
        <v>199</v>
      </c>
      <c r="N23">
        <v>0</v>
      </c>
      <c r="O23" t="s">
        <v>193</v>
      </c>
      <c r="P23">
        <v>0</v>
      </c>
      <c r="Q23" t="s">
        <v>200</v>
      </c>
      <c r="R23">
        <v>0</v>
      </c>
      <c r="S23" t="s">
        <v>119</v>
      </c>
      <c r="T23">
        <v>0</v>
      </c>
      <c r="U23" t="s">
        <v>201</v>
      </c>
      <c r="V23" t="s">
        <v>120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s">
        <v>52</v>
      </c>
    </row>
    <row r="24" spans="1:37" x14ac:dyDescent="0.25">
      <c r="A24" t="s">
        <v>202</v>
      </c>
      <c r="B24" t="str">
        <f t="shared" si="0"/>
        <v>2012</v>
      </c>
      <c r="C24" t="str">
        <f t="shared" si="1"/>
        <v>02</v>
      </c>
      <c r="D24" t="s">
        <v>203</v>
      </c>
      <c r="E24" t="s">
        <v>204</v>
      </c>
      <c r="F24">
        <v>0</v>
      </c>
      <c r="G24">
        <v>0</v>
      </c>
      <c r="H24">
        <v>0</v>
      </c>
      <c r="I24" t="s">
        <v>205</v>
      </c>
      <c r="J24">
        <v>0</v>
      </c>
      <c r="K24">
        <v>0</v>
      </c>
      <c r="L24">
        <v>0</v>
      </c>
      <c r="M24" t="s">
        <v>206</v>
      </c>
      <c r="N24">
        <v>0</v>
      </c>
      <c r="O24" t="s">
        <v>207</v>
      </c>
      <c r="P24">
        <v>0</v>
      </c>
      <c r="Q24" t="s">
        <v>208</v>
      </c>
      <c r="R24">
        <v>0</v>
      </c>
      <c r="S24" t="s">
        <v>119</v>
      </c>
      <c r="T24">
        <v>0</v>
      </c>
      <c r="U24" t="s">
        <v>97</v>
      </c>
      <c r="V24" t="s">
        <v>171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">
        <v>52</v>
      </c>
    </row>
    <row r="25" spans="1:37" x14ac:dyDescent="0.25">
      <c r="A25" t="s">
        <v>209</v>
      </c>
      <c r="B25" t="str">
        <f t="shared" si="0"/>
        <v>2012</v>
      </c>
      <c r="C25" t="str">
        <f t="shared" si="1"/>
        <v>03</v>
      </c>
      <c r="D25" t="s">
        <v>210</v>
      </c>
      <c r="E25" t="s">
        <v>211</v>
      </c>
      <c r="F25">
        <v>0</v>
      </c>
      <c r="G25">
        <v>0</v>
      </c>
      <c r="H25">
        <v>0</v>
      </c>
      <c r="I25" t="s">
        <v>212</v>
      </c>
      <c r="J25">
        <v>0</v>
      </c>
      <c r="K25" t="s">
        <v>213</v>
      </c>
      <c r="L25">
        <v>0</v>
      </c>
      <c r="M25" t="s">
        <v>214</v>
      </c>
      <c r="N25">
        <v>0</v>
      </c>
      <c r="O25" t="s">
        <v>55</v>
      </c>
      <c r="P25">
        <v>0</v>
      </c>
      <c r="Q25" t="s">
        <v>215</v>
      </c>
      <c r="R25">
        <v>0</v>
      </c>
      <c r="S25" t="s">
        <v>216</v>
      </c>
      <c r="T25">
        <v>0</v>
      </c>
      <c r="U25" t="s">
        <v>217</v>
      </c>
      <c r="V25" t="s">
        <v>171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52</v>
      </c>
    </row>
    <row r="26" spans="1:37" x14ac:dyDescent="0.25">
      <c r="A26" t="s">
        <v>218</v>
      </c>
      <c r="B26" t="str">
        <f t="shared" si="0"/>
        <v>2012</v>
      </c>
      <c r="C26" t="str">
        <f t="shared" si="1"/>
        <v>04</v>
      </c>
      <c r="D26" t="s">
        <v>219</v>
      </c>
      <c r="E26" t="s">
        <v>220</v>
      </c>
      <c r="F26">
        <v>0</v>
      </c>
      <c r="G26">
        <v>0</v>
      </c>
      <c r="H26">
        <v>0</v>
      </c>
      <c r="I26" t="s">
        <v>221</v>
      </c>
      <c r="J26">
        <v>0</v>
      </c>
      <c r="K26" t="s">
        <v>222</v>
      </c>
      <c r="L26">
        <v>0</v>
      </c>
      <c r="M26" t="s">
        <v>223</v>
      </c>
      <c r="N26">
        <v>0</v>
      </c>
      <c r="O26" t="s">
        <v>224</v>
      </c>
      <c r="P26">
        <v>0</v>
      </c>
      <c r="Q26" t="s">
        <v>225</v>
      </c>
      <c r="R26">
        <v>0</v>
      </c>
      <c r="S26" t="s">
        <v>120</v>
      </c>
      <c r="T26">
        <v>0</v>
      </c>
      <c r="U26" t="s">
        <v>226</v>
      </c>
      <c r="V26" t="s">
        <v>119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52</v>
      </c>
    </row>
    <row r="27" spans="1:37" x14ac:dyDescent="0.25">
      <c r="A27" t="s">
        <v>227</v>
      </c>
      <c r="B27" t="str">
        <f t="shared" si="0"/>
        <v>2012</v>
      </c>
      <c r="C27" t="str">
        <f t="shared" si="1"/>
        <v>05</v>
      </c>
      <c r="D27" t="s">
        <v>228</v>
      </c>
      <c r="E27" t="s">
        <v>229</v>
      </c>
      <c r="F27">
        <v>0</v>
      </c>
      <c r="G27">
        <v>0</v>
      </c>
      <c r="H27">
        <v>0</v>
      </c>
      <c r="I27" t="s">
        <v>230</v>
      </c>
      <c r="J27">
        <v>0</v>
      </c>
      <c r="K27" t="s">
        <v>231</v>
      </c>
      <c r="L27" t="s">
        <v>188</v>
      </c>
      <c r="M27" t="s">
        <v>232</v>
      </c>
      <c r="N27">
        <v>0</v>
      </c>
      <c r="O27" t="s">
        <v>195</v>
      </c>
      <c r="P27">
        <v>0</v>
      </c>
      <c r="Q27" t="s">
        <v>233</v>
      </c>
      <c r="R27">
        <v>0</v>
      </c>
      <c r="S27" t="s">
        <v>119</v>
      </c>
      <c r="T27">
        <v>0</v>
      </c>
      <c r="U27" t="s">
        <v>234</v>
      </c>
      <c r="V27" t="s">
        <v>120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113</v>
      </c>
      <c r="AD27">
        <v>0</v>
      </c>
      <c r="AE27">
        <v>0</v>
      </c>
      <c r="AF27" t="s">
        <v>63</v>
      </c>
      <c r="AG27">
        <v>0</v>
      </c>
      <c r="AH27">
        <v>0</v>
      </c>
      <c r="AI27">
        <v>0</v>
      </c>
      <c r="AJ27">
        <v>0</v>
      </c>
      <c r="AK27" t="s">
        <v>120</v>
      </c>
    </row>
    <row r="28" spans="1:37" x14ac:dyDescent="0.25">
      <c r="A28" t="s">
        <v>235</v>
      </c>
      <c r="B28" t="str">
        <f t="shared" si="0"/>
        <v>2012</v>
      </c>
      <c r="C28" t="str">
        <f t="shared" si="1"/>
        <v>06</v>
      </c>
      <c r="D28" t="s">
        <v>236</v>
      </c>
      <c r="E28" t="s">
        <v>237</v>
      </c>
      <c r="F28">
        <v>0</v>
      </c>
      <c r="G28">
        <v>0</v>
      </c>
      <c r="H28">
        <v>0</v>
      </c>
      <c r="I28" t="s">
        <v>238</v>
      </c>
      <c r="J28">
        <v>0</v>
      </c>
      <c r="K28" t="s">
        <v>239</v>
      </c>
      <c r="L28" t="s">
        <v>113</v>
      </c>
      <c r="M28" t="s">
        <v>240</v>
      </c>
      <c r="N28">
        <v>0</v>
      </c>
      <c r="O28" t="s">
        <v>241</v>
      </c>
      <c r="P28">
        <v>0</v>
      </c>
      <c r="Q28" t="s">
        <v>242</v>
      </c>
      <c r="R28">
        <v>0</v>
      </c>
      <c r="S28" t="s">
        <v>52</v>
      </c>
      <c r="T28">
        <v>0</v>
      </c>
      <c r="U28" t="s">
        <v>42</v>
      </c>
      <c r="V28" t="s">
        <v>188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63</v>
      </c>
      <c r="AD28">
        <v>0</v>
      </c>
      <c r="AE28">
        <v>0</v>
      </c>
      <c r="AF28" t="s">
        <v>63</v>
      </c>
      <c r="AG28">
        <v>0</v>
      </c>
      <c r="AH28">
        <v>0</v>
      </c>
      <c r="AI28">
        <v>0</v>
      </c>
      <c r="AJ28">
        <v>0</v>
      </c>
      <c r="AK28" t="s">
        <v>188</v>
      </c>
    </row>
    <row r="29" spans="1:37" x14ac:dyDescent="0.25">
      <c r="A29" t="s">
        <v>243</v>
      </c>
      <c r="B29" t="str">
        <f t="shared" si="0"/>
        <v>2012</v>
      </c>
      <c r="C29" t="str">
        <f t="shared" si="1"/>
        <v>07</v>
      </c>
      <c r="D29" t="s">
        <v>244</v>
      </c>
      <c r="E29" t="s">
        <v>245</v>
      </c>
      <c r="F29">
        <v>0</v>
      </c>
      <c r="G29">
        <v>0</v>
      </c>
      <c r="H29">
        <v>0</v>
      </c>
      <c r="I29" t="s">
        <v>246</v>
      </c>
      <c r="J29">
        <v>0</v>
      </c>
      <c r="K29" t="s">
        <v>247</v>
      </c>
      <c r="L29" t="s">
        <v>113</v>
      </c>
      <c r="M29" t="s">
        <v>248</v>
      </c>
      <c r="N29">
        <v>0</v>
      </c>
      <c r="O29" t="s">
        <v>207</v>
      </c>
      <c r="P29">
        <v>0</v>
      </c>
      <c r="Q29" t="s">
        <v>249</v>
      </c>
      <c r="R29" t="s">
        <v>63</v>
      </c>
      <c r="S29" t="s">
        <v>188</v>
      </c>
      <c r="T29">
        <v>0</v>
      </c>
      <c r="U29" t="s">
        <v>42</v>
      </c>
      <c r="V29" t="s">
        <v>52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113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">
        <v>52</v>
      </c>
    </row>
    <row r="30" spans="1:37" x14ac:dyDescent="0.25">
      <c r="A30" t="s">
        <v>250</v>
      </c>
      <c r="B30" t="str">
        <f t="shared" si="0"/>
        <v>2012</v>
      </c>
      <c r="C30" t="str">
        <f t="shared" si="1"/>
        <v>08</v>
      </c>
      <c r="D30" t="s">
        <v>251</v>
      </c>
      <c r="E30" t="s">
        <v>252</v>
      </c>
      <c r="F30">
        <v>0</v>
      </c>
      <c r="G30">
        <v>0</v>
      </c>
      <c r="H30">
        <v>0</v>
      </c>
      <c r="I30" t="s">
        <v>253</v>
      </c>
      <c r="J30">
        <v>0</v>
      </c>
      <c r="K30" t="s">
        <v>254</v>
      </c>
      <c r="L30" t="s">
        <v>216</v>
      </c>
      <c r="M30" t="s">
        <v>233</v>
      </c>
      <c r="N30">
        <v>0</v>
      </c>
      <c r="O30" t="s">
        <v>255</v>
      </c>
      <c r="P30">
        <v>0</v>
      </c>
      <c r="Q30" t="s">
        <v>256</v>
      </c>
      <c r="R30" t="s">
        <v>63</v>
      </c>
      <c r="S30" t="s">
        <v>171</v>
      </c>
      <c r="T30">
        <v>0</v>
      </c>
      <c r="U30" t="s">
        <v>257</v>
      </c>
      <c r="V30" t="s">
        <v>216</v>
      </c>
      <c r="W30">
        <v>0</v>
      </c>
      <c r="X30">
        <v>0</v>
      </c>
      <c r="Y30">
        <v>0</v>
      </c>
      <c r="Z30" t="s">
        <v>63</v>
      </c>
      <c r="AA30">
        <v>0</v>
      </c>
      <c r="AB30">
        <v>0</v>
      </c>
      <c r="AC30" t="s">
        <v>52</v>
      </c>
      <c r="AD30">
        <v>0</v>
      </c>
      <c r="AE30">
        <v>0</v>
      </c>
      <c r="AF30" t="s">
        <v>63</v>
      </c>
      <c r="AG30">
        <v>0</v>
      </c>
      <c r="AH30" t="s">
        <v>113</v>
      </c>
      <c r="AI30">
        <v>0</v>
      </c>
      <c r="AJ30">
        <v>0</v>
      </c>
      <c r="AK30" t="s">
        <v>52</v>
      </c>
    </row>
    <row r="31" spans="1:37" x14ac:dyDescent="0.25">
      <c r="A31" t="s">
        <v>258</v>
      </c>
      <c r="B31" t="str">
        <f t="shared" si="0"/>
        <v>2012</v>
      </c>
      <c r="C31" t="str">
        <f t="shared" si="1"/>
        <v>09</v>
      </c>
      <c r="D31" t="s">
        <v>259</v>
      </c>
      <c r="E31" t="s">
        <v>260</v>
      </c>
      <c r="F31">
        <v>0</v>
      </c>
      <c r="G31">
        <v>0</v>
      </c>
      <c r="H31">
        <v>0</v>
      </c>
      <c r="I31" t="s">
        <v>261</v>
      </c>
      <c r="J31">
        <v>0</v>
      </c>
      <c r="K31" t="s">
        <v>262</v>
      </c>
      <c r="L31" t="s">
        <v>216</v>
      </c>
      <c r="M31" t="s">
        <v>263</v>
      </c>
      <c r="N31">
        <v>0</v>
      </c>
      <c r="O31" t="s">
        <v>264</v>
      </c>
      <c r="P31">
        <v>0</v>
      </c>
      <c r="Q31" t="s">
        <v>233</v>
      </c>
      <c r="R31" t="s">
        <v>52</v>
      </c>
      <c r="S31" t="s">
        <v>41</v>
      </c>
      <c r="T31">
        <v>0</v>
      </c>
      <c r="U31" t="s">
        <v>55</v>
      </c>
      <c r="V31" t="s">
        <v>119</v>
      </c>
      <c r="W31">
        <v>0</v>
      </c>
      <c r="X31">
        <v>0</v>
      </c>
      <c r="Y31">
        <v>0</v>
      </c>
      <c r="Z31" t="s">
        <v>63</v>
      </c>
      <c r="AA31">
        <v>0</v>
      </c>
      <c r="AB31">
        <v>0</v>
      </c>
      <c r="AC31" t="s">
        <v>188</v>
      </c>
      <c r="AD31">
        <v>0</v>
      </c>
      <c r="AE31">
        <v>0</v>
      </c>
      <c r="AF31" t="s">
        <v>63</v>
      </c>
      <c r="AG31">
        <v>0</v>
      </c>
      <c r="AH31" t="s">
        <v>113</v>
      </c>
      <c r="AI31">
        <v>0</v>
      </c>
      <c r="AJ31">
        <v>0</v>
      </c>
      <c r="AK31" t="s">
        <v>171</v>
      </c>
    </row>
    <row r="32" spans="1:37" x14ac:dyDescent="0.25">
      <c r="A32" t="s">
        <v>265</v>
      </c>
      <c r="B32" t="str">
        <f t="shared" si="0"/>
        <v>2012</v>
      </c>
      <c r="C32" t="str">
        <f t="shared" si="1"/>
        <v>10</v>
      </c>
      <c r="D32" t="s">
        <v>266</v>
      </c>
      <c r="E32" t="s">
        <v>267</v>
      </c>
      <c r="F32">
        <v>0</v>
      </c>
      <c r="G32">
        <v>0</v>
      </c>
      <c r="H32">
        <v>0</v>
      </c>
      <c r="I32" t="s">
        <v>268</v>
      </c>
      <c r="J32">
        <v>0</v>
      </c>
      <c r="K32" t="s">
        <v>269</v>
      </c>
      <c r="L32" t="s">
        <v>216</v>
      </c>
      <c r="M32" t="s">
        <v>146</v>
      </c>
      <c r="N32">
        <v>0</v>
      </c>
      <c r="O32" t="s">
        <v>270</v>
      </c>
      <c r="P32">
        <v>0</v>
      </c>
      <c r="Q32" t="s">
        <v>271</v>
      </c>
      <c r="R32" t="s">
        <v>119</v>
      </c>
      <c r="S32" t="s">
        <v>120</v>
      </c>
      <c r="T32">
        <v>0</v>
      </c>
      <c r="U32" t="s">
        <v>72</v>
      </c>
      <c r="V32" t="s">
        <v>120</v>
      </c>
      <c r="W32">
        <v>0</v>
      </c>
      <c r="X32">
        <v>0</v>
      </c>
      <c r="Y32">
        <v>0</v>
      </c>
      <c r="Z32" t="s">
        <v>63</v>
      </c>
      <c r="AA32">
        <v>0</v>
      </c>
      <c r="AB32">
        <v>0</v>
      </c>
      <c r="AC32" t="s">
        <v>188</v>
      </c>
      <c r="AD32">
        <v>0</v>
      </c>
      <c r="AE32">
        <v>0</v>
      </c>
      <c r="AF32" t="s">
        <v>63</v>
      </c>
      <c r="AG32">
        <v>0</v>
      </c>
      <c r="AH32" t="s">
        <v>52</v>
      </c>
      <c r="AI32">
        <v>0</v>
      </c>
      <c r="AJ32">
        <v>0</v>
      </c>
      <c r="AK32" t="s">
        <v>216</v>
      </c>
    </row>
    <row r="33" spans="1:37" x14ac:dyDescent="0.25">
      <c r="A33" t="s">
        <v>272</v>
      </c>
      <c r="B33" t="str">
        <f t="shared" si="0"/>
        <v>2012</v>
      </c>
      <c r="C33" t="str">
        <f t="shared" si="1"/>
        <v>11</v>
      </c>
      <c r="D33" t="s">
        <v>273</v>
      </c>
      <c r="E33" t="s">
        <v>274</v>
      </c>
      <c r="F33">
        <v>0</v>
      </c>
      <c r="G33">
        <v>0</v>
      </c>
      <c r="H33">
        <v>0</v>
      </c>
      <c r="I33" t="s">
        <v>275</v>
      </c>
      <c r="J33">
        <v>0</v>
      </c>
      <c r="K33" t="s">
        <v>276</v>
      </c>
      <c r="L33" t="s">
        <v>119</v>
      </c>
      <c r="M33" t="s">
        <v>277</v>
      </c>
      <c r="N33">
        <v>0</v>
      </c>
      <c r="O33" t="s">
        <v>278</v>
      </c>
      <c r="P33">
        <v>0</v>
      </c>
      <c r="Q33" t="s">
        <v>279</v>
      </c>
      <c r="R33" t="s">
        <v>41</v>
      </c>
      <c r="S33" t="s">
        <v>41</v>
      </c>
      <c r="T33">
        <v>0</v>
      </c>
      <c r="U33" t="s">
        <v>257</v>
      </c>
      <c r="V33" t="s">
        <v>41</v>
      </c>
      <c r="W33">
        <v>0</v>
      </c>
      <c r="X33">
        <v>0</v>
      </c>
      <c r="Y33">
        <v>0</v>
      </c>
      <c r="Z33" t="s">
        <v>113</v>
      </c>
      <c r="AA33">
        <v>0</v>
      </c>
      <c r="AB33">
        <v>0</v>
      </c>
      <c r="AC33" t="s">
        <v>73</v>
      </c>
      <c r="AD33">
        <v>0</v>
      </c>
      <c r="AE33">
        <v>0</v>
      </c>
      <c r="AF33" t="s">
        <v>63</v>
      </c>
      <c r="AG33">
        <v>0</v>
      </c>
      <c r="AH33" t="s">
        <v>188</v>
      </c>
      <c r="AI33">
        <v>0</v>
      </c>
      <c r="AJ33">
        <v>0</v>
      </c>
      <c r="AK33" t="s">
        <v>216</v>
      </c>
    </row>
    <row r="34" spans="1:37" x14ac:dyDescent="0.25">
      <c r="A34" t="s">
        <v>280</v>
      </c>
      <c r="B34" t="str">
        <f t="shared" si="0"/>
        <v>2012</v>
      </c>
      <c r="C34" t="str">
        <f t="shared" si="1"/>
        <v>12</v>
      </c>
      <c r="D34" t="s">
        <v>281</v>
      </c>
      <c r="E34" t="s">
        <v>282</v>
      </c>
      <c r="F34">
        <v>0</v>
      </c>
      <c r="G34">
        <v>0</v>
      </c>
      <c r="H34">
        <v>0</v>
      </c>
      <c r="I34" t="s">
        <v>283</v>
      </c>
      <c r="J34">
        <v>0</v>
      </c>
      <c r="K34" t="s">
        <v>284</v>
      </c>
      <c r="L34" t="s">
        <v>41</v>
      </c>
      <c r="M34" t="s">
        <v>140</v>
      </c>
      <c r="N34">
        <v>0</v>
      </c>
      <c r="O34" t="s">
        <v>285</v>
      </c>
      <c r="P34">
        <v>0</v>
      </c>
      <c r="Q34" t="s">
        <v>153</v>
      </c>
      <c r="R34" t="s">
        <v>107</v>
      </c>
      <c r="S34" t="s">
        <v>120</v>
      </c>
      <c r="T34">
        <v>0</v>
      </c>
      <c r="U34" t="s">
        <v>286</v>
      </c>
      <c r="V34" t="s">
        <v>41</v>
      </c>
      <c r="W34">
        <v>0</v>
      </c>
      <c r="X34">
        <v>0</v>
      </c>
      <c r="Y34">
        <v>0</v>
      </c>
      <c r="Z34" t="s">
        <v>88</v>
      </c>
      <c r="AA34">
        <v>0</v>
      </c>
      <c r="AB34">
        <v>0</v>
      </c>
      <c r="AC34" t="s">
        <v>53</v>
      </c>
      <c r="AD34">
        <v>0</v>
      </c>
      <c r="AE34">
        <v>0</v>
      </c>
      <c r="AF34" t="s">
        <v>113</v>
      </c>
      <c r="AG34">
        <v>0</v>
      </c>
      <c r="AH34" t="s">
        <v>52</v>
      </c>
      <c r="AI34">
        <v>0</v>
      </c>
      <c r="AJ34">
        <v>0</v>
      </c>
      <c r="AK34" t="s">
        <v>216</v>
      </c>
    </row>
    <row r="35" spans="1:37" x14ac:dyDescent="0.25">
      <c r="A35" t="s">
        <v>287</v>
      </c>
      <c r="B35" t="str">
        <f t="shared" si="0"/>
        <v>2013</v>
      </c>
      <c r="C35" t="str">
        <f t="shared" si="1"/>
        <v>01</v>
      </c>
      <c r="D35" t="s">
        <v>288</v>
      </c>
      <c r="E35" t="s">
        <v>289</v>
      </c>
      <c r="F35">
        <v>0</v>
      </c>
      <c r="G35">
        <v>0</v>
      </c>
      <c r="H35">
        <v>0</v>
      </c>
      <c r="I35" t="s">
        <v>290</v>
      </c>
      <c r="J35">
        <v>0</v>
      </c>
      <c r="K35" t="s">
        <v>291</v>
      </c>
      <c r="L35" t="s">
        <v>41</v>
      </c>
      <c r="M35" t="s">
        <v>199</v>
      </c>
      <c r="N35">
        <v>0</v>
      </c>
      <c r="O35" t="s">
        <v>277</v>
      </c>
      <c r="P35">
        <v>0</v>
      </c>
      <c r="Q35" t="s">
        <v>292</v>
      </c>
      <c r="R35" t="s">
        <v>42</v>
      </c>
      <c r="S35" t="s">
        <v>128</v>
      </c>
      <c r="T35">
        <v>0</v>
      </c>
      <c r="U35" t="s">
        <v>293</v>
      </c>
      <c r="V35" t="s">
        <v>41</v>
      </c>
      <c r="W35">
        <v>0</v>
      </c>
      <c r="X35">
        <v>0</v>
      </c>
      <c r="Y35">
        <v>0</v>
      </c>
      <c r="Z35" t="s">
        <v>42</v>
      </c>
      <c r="AA35">
        <v>0</v>
      </c>
      <c r="AB35">
        <v>0</v>
      </c>
      <c r="AC35" t="s">
        <v>76</v>
      </c>
      <c r="AD35">
        <v>0</v>
      </c>
      <c r="AE35">
        <v>0</v>
      </c>
      <c r="AF35" t="s">
        <v>52</v>
      </c>
      <c r="AG35">
        <v>0</v>
      </c>
      <c r="AH35" t="s">
        <v>52</v>
      </c>
      <c r="AI35">
        <v>0</v>
      </c>
      <c r="AJ35">
        <v>0</v>
      </c>
      <c r="AK35" t="s">
        <v>171</v>
      </c>
    </row>
    <row r="36" spans="1:37" x14ac:dyDescent="0.25">
      <c r="A36" t="s">
        <v>294</v>
      </c>
      <c r="B36" t="str">
        <f t="shared" si="0"/>
        <v>2013</v>
      </c>
      <c r="C36" t="str">
        <f t="shared" si="1"/>
        <v>02</v>
      </c>
      <c r="D36" t="s">
        <v>295</v>
      </c>
      <c r="E36" t="s">
        <v>296</v>
      </c>
      <c r="F36">
        <v>0</v>
      </c>
      <c r="G36">
        <v>0</v>
      </c>
      <c r="H36">
        <v>0</v>
      </c>
      <c r="I36" t="s">
        <v>297</v>
      </c>
      <c r="J36">
        <v>0</v>
      </c>
      <c r="K36" t="s">
        <v>298</v>
      </c>
      <c r="L36" t="s">
        <v>88</v>
      </c>
      <c r="M36" t="s">
        <v>299</v>
      </c>
      <c r="N36">
        <v>0</v>
      </c>
      <c r="O36" t="s">
        <v>170</v>
      </c>
      <c r="P36">
        <v>0</v>
      </c>
      <c r="Q36" t="s">
        <v>214</v>
      </c>
      <c r="R36" t="s">
        <v>76</v>
      </c>
      <c r="S36" t="s">
        <v>64</v>
      </c>
      <c r="T36">
        <v>0</v>
      </c>
      <c r="U36" t="s">
        <v>300</v>
      </c>
      <c r="V36" t="s">
        <v>119</v>
      </c>
      <c r="W36">
        <v>0</v>
      </c>
      <c r="X36">
        <v>0</v>
      </c>
      <c r="Y36">
        <v>0</v>
      </c>
      <c r="Z36" t="s">
        <v>66</v>
      </c>
      <c r="AA36">
        <v>0</v>
      </c>
      <c r="AB36">
        <v>0</v>
      </c>
      <c r="AC36" t="s">
        <v>42</v>
      </c>
      <c r="AD36">
        <v>0</v>
      </c>
      <c r="AE36">
        <v>0</v>
      </c>
      <c r="AF36" t="s">
        <v>113</v>
      </c>
      <c r="AG36">
        <v>0</v>
      </c>
      <c r="AH36" t="s">
        <v>52</v>
      </c>
      <c r="AI36">
        <v>0</v>
      </c>
      <c r="AJ36">
        <v>0</v>
      </c>
      <c r="AK36" t="s">
        <v>188</v>
      </c>
    </row>
    <row r="37" spans="1:37" x14ac:dyDescent="0.25">
      <c r="A37" t="s">
        <v>301</v>
      </c>
      <c r="B37" t="str">
        <f t="shared" si="0"/>
        <v>2013</v>
      </c>
      <c r="C37" t="str">
        <f t="shared" si="1"/>
        <v>03</v>
      </c>
      <c r="D37" t="s">
        <v>302</v>
      </c>
      <c r="E37" t="s">
        <v>303</v>
      </c>
      <c r="F37">
        <v>0</v>
      </c>
      <c r="G37">
        <v>0</v>
      </c>
      <c r="H37">
        <v>0</v>
      </c>
      <c r="I37" t="s">
        <v>304</v>
      </c>
      <c r="J37">
        <v>0</v>
      </c>
      <c r="K37" t="s">
        <v>305</v>
      </c>
      <c r="L37" t="s">
        <v>107</v>
      </c>
      <c r="M37" t="s">
        <v>306</v>
      </c>
      <c r="N37">
        <v>0</v>
      </c>
      <c r="O37" t="s">
        <v>307</v>
      </c>
      <c r="P37">
        <v>0</v>
      </c>
      <c r="Q37" t="s">
        <v>308</v>
      </c>
      <c r="R37" t="s">
        <v>45</v>
      </c>
      <c r="S37" t="s">
        <v>88</v>
      </c>
      <c r="T37">
        <v>0</v>
      </c>
      <c r="U37" t="s">
        <v>257</v>
      </c>
      <c r="V37" t="s">
        <v>119</v>
      </c>
      <c r="W37">
        <v>0</v>
      </c>
      <c r="X37">
        <v>0</v>
      </c>
      <c r="Y37">
        <v>0</v>
      </c>
      <c r="Z37" t="s">
        <v>75</v>
      </c>
      <c r="AA37">
        <v>0</v>
      </c>
      <c r="AB37">
        <v>0</v>
      </c>
      <c r="AC37" t="s">
        <v>134</v>
      </c>
      <c r="AD37">
        <v>0</v>
      </c>
      <c r="AE37">
        <v>0</v>
      </c>
      <c r="AF37" t="s">
        <v>113</v>
      </c>
      <c r="AG37">
        <v>0</v>
      </c>
      <c r="AH37" t="s">
        <v>113</v>
      </c>
      <c r="AI37">
        <v>0</v>
      </c>
      <c r="AJ37">
        <v>0</v>
      </c>
      <c r="AK37" t="s">
        <v>188</v>
      </c>
    </row>
    <row r="38" spans="1:37" x14ac:dyDescent="0.25">
      <c r="A38" t="s">
        <v>309</v>
      </c>
      <c r="B38" t="str">
        <f t="shared" si="0"/>
        <v>2013</v>
      </c>
      <c r="C38" t="str">
        <f t="shared" si="1"/>
        <v>04</v>
      </c>
      <c r="D38" t="s">
        <v>310</v>
      </c>
      <c r="E38" t="s">
        <v>311</v>
      </c>
      <c r="F38">
        <v>0</v>
      </c>
      <c r="G38">
        <v>0</v>
      </c>
      <c r="H38">
        <v>0</v>
      </c>
      <c r="I38" t="s">
        <v>312</v>
      </c>
      <c r="J38">
        <v>0</v>
      </c>
      <c r="K38" t="s">
        <v>313</v>
      </c>
      <c r="L38" t="s">
        <v>107</v>
      </c>
      <c r="M38" t="s">
        <v>314</v>
      </c>
      <c r="N38">
        <v>0</v>
      </c>
      <c r="O38" t="s">
        <v>315</v>
      </c>
      <c r="P38">
        <v>0</v>
      </c>
      <c r="Q38" t="s">
        <v>285</v>
      </c>
      <c r="R38" t="s">
        <v>316</v>
      </c>
      <c r="S38" t="s">
        <v>152</v>
      </c>
      <c r="T38">
        <v>0</v>
      </c>
      <c r="U38" t="s">
        <v>300</v>
      </c>
      <c r="V38" t="s">
        <v>88</v>
      </c>
      <c r="W38">
        <v>0</v>
      </c>
      <c r="X38">
        <v>0</v>
      </c>
      <c r="Y38">
        <v>0</v>
      </c>
      <c r="Z38" t="s">
        <v>317</v>
      </c>
      <c r="AA38">
        <v>0</v>
      </c>
      <c r="AB38">
        <v>0</v>
      </c>
      <c r="AC38" t="s">
        <v>103</v>
      </c>
      <c r="AD38">
        <v>0</v>
      </c>
      <c r="AE38">
        <v>0</v>
      </c>
      <c r="AF38" t="s">
        <v>52</v>
      </c>
      <c r="AG38">
        <v>0</v>
      </c>
      <c r="AH38" t="s">
        <v>113</v>
      </c>
      <c r="AI38">
        <v>0</v>
      </c>
      <c r="AJ38">
        <v>0</v>
      </c>
      <c r="AK38" t="s">
        <v>119</v>
      </c>
    </row>
    <row r="39" spans="1:37" x14ac:dyDescent="0.25">
      <c r="A39" t="s">
        <v>318</v>
      </c>
      <c r="B39" t="str">
        <f t="shared" si="0"/>
        <v>2013</v>
      </c>
      <c r="C39" t="str">
        <f t="shared" si="1"/>
        <v>05</v>
      </c>
      <c r="D39" t="s">
        <v>319</v>
      </c>
      <c r="E39" t="s">
        <v>320</v>
      </c>
      <c r="F39">
        <v>0</v>
      </c>
      <c r="G39">
        <v>0</v>
      </c>
      <c r="H39">
        <v>0</v>
      </c>
      <c r="I39" t="s">
        <v>321</v>
      </c>
      <c r="J39">
        <v>0</v>
      </c>
      <c r="K39" t="s">
        <v>322</v>
      </c>
      <c r="L39" t="s">
        <v>66</v>
      </c>
      <c r="M39" t="s">
        <v>206</v>
      </c>
      <c r="N39">
        <v>0</v>
      </c>
      <c r="O39" t="s">
        <v>323</v>
      </c>
      <c r="P39">
        <v>0</v>
      </c>
      <c r="Q39" t="s">
        <v>187</v>
      </c>
      <c r="R39" t="s">
        <v>55</v>
      </c>
      <c r="S39" t="s">
        <v>152</v>
      </c>
      <c r="T39">
        <v>0</v>
      </c>
      <c r="U39" t="s">
        <v>286</v>
      </c>
      <c r="V39" t="s">
        <v>64</v>
      </c>
      <c r="W39">
        <v>0</v>
      </c>
      <c r="X39">
        <v>0</v>
      </c>
      <c r="Y39">
        <v>0</v>
      </c>
      <c r="Z39" t="s">
        <v>62</v>
      </c>
      <c r="AA39">
        <v>0</v>
      </c>
      <c r="AB39">
        <v>0</v>
      </c>
      <c r="AC39" t="s">
        <v>45</v>
      </c>
      <c r="AD39">
        <v>0</v>
      </c>
      <c r="AE39">
        <v>0</v>
      </c>
      <c r="AF39" t="s">
        <v>52</v>
      </c>
      <c r="AG39">
        <v>0</v>
      </c>
      <c r="AH39" t="s">
        <v>113</v>
      </c>
      <c r="AI39">
        <v>0</v>
      </c>
      <c r="AJ39">
        <v>0</v>
      </c>
      <c r="AK39" t="s">
        <v>171</v>
      </c>
    </row>
    <row r="40" spans="1:37" x14ac:dyDescent="0.25">
      <c r="A40" t="s">
        <v>324</v>
      </c>
      <c r="B40" t="str">
        <f t="shared" si="0"/>
        <v>2013</v>
      </c>
      <c r="C40" t="str">
        <f t="shared" si="1"/>
        <v>06</v>
      </c>
      <c r="D40" t="s">
        <v>325</v>
      </c>
      <c r="E40" t="s">
        <v>326</v>
      </c>
      <c r="F40">
        <v>0</v>
      </c>
      <c r="G40">
        <v>0</v>
      </c>
      <c r="H40">
        <v>0</v>
      </c>
      <c r="I40" t="s">
        <v>327</v>
      </c>
      <c r="J40">
        <v>0</v>
      </c>
      <c r="K40" t="s">
        <v>328</v>
      </c>
      <c r="L40" t="s">
        <v>106</v>
      </c>
      <c r="M40" t="s">
        <v>285</v>
      </c>
      <c r="N40">
        <v>0</v>
      </c>
      <c r="O40" t="s">
        <v>329</v>
      </c>
      <c r="P40">
        <v>0</v>
      </c>
      <c r="Q40" t="s">
        <v>315</v>
      </c>
      <c r="R40" t="s">
        <v>224</v>
      </c>
      <c r="S40" t="s">
        <v>53</v>
      </c>
      <c r="T40">
        <v>0</v>
      </c>
      <c r="U40" t="s">
        <v>55</v>
      </c>
      <c r="V40" t="s">
        <v>128</v>
      </c>
      <c r="W40">
        <v>0</v>
      </c>
      <c r="X40">
        <v>0</v>
      </c>
      <c r="Y40">
        <v>0</v>
      </c>
      <c r="Z40" t="s">
        <v>317</v>
      </c>
      <c r="AA40">
        <v>0</v>
      </c>
      <c r="AB40">
        <v>0</v>
      </c>
      <c r="AC40" t="s">
        <v>40</v>
      </c>
      <c r="AD40">
        <v>0</v>
      </c>
      <c r="AE40">
        <v>0</v>
      </c>
      <c r="AF40" t="s">
        <v>188</v>
      </c>
      <c r="AG40">
        <v>0</v>
      </c>
      <c r="AH40" t="s">
        <v>63</v>
      </c>
      <c r="AI40">
        <v>0</v>
      </c>
      <c r="AJ40">
        <v>0</v>
      </c>
      <c r="AK40" t="s">
        <v>119</v>
      </c>
    </row>
    <row r="41" spans="1:37" x14ac:dyDescent="0.25">
      <c r="A41" t="s">
        <v>330</v>
      </c>
      <c r="B41" t="str">
        <f t="shared" si="0"/>
        <v>2013</v>
      </c>
      <c r="C41" t="str">
        <f t="shared" si="1"/>
        <v>07</v>
      </c>
      <c r="D41" t="s">
        <v>331</v>
      </c>
      <c r="E41" t="s">
        <v>332</v>
      </c>
      <c r="F41">
        <v>0</v>
      </c>
      <c r="G41" t="s">
        <v>113</v>
      </c>
      <c r="H41">
        <v>0</v>
      </c>
      <c r="I41" t="s">
        <v>333</v>
      </c>
      <c r="J41">
        <v>0</v>
      </c>
      <c r="K41" t="s">
        <v>334</v>
      </c>
      <c r="L41" t="s">
        <v>126</v>
      </c>
      <c r="M41" t="s">
        <v>225</v>
      </c>
      <c r="N41">
        <v>0</v>
      </c>
      <c r="O41" t="s">
        <v>335</v>
      </c>
      <c r="P41">
        <v>0</v>
      </c>
      <c r="Q41" t="s">
        <v>232</v>
      </c>
      <c r="R41" t="s">
        <v>193</v>
      </c>
      <c r="S41" t="s">
        <v>106</v>
      </c>
      <c r="T41">
        <v>0</v>
      </c>
      <c r="U41" t="s">
        <v>257</v>
      </c>
      <c r="V41" t="s">
        <v>119</v>
      </c>
      <c r="W41">
        <v>0</v>
      </c>
      <c r="X41">
        <v>0</v>
      </c>
      <c r="Y41">
        <v>0</v>
      </c>
      <c r="Z41" t="s">
        <v>316</v>
      </c>
      <c r="AA41">
        <v>0</v>
      </c>
      <c r="AB41">
        <v>0</v>
      </c>
      <c r="AC41" t="s">
        <v>75</v>
      </c>
      <c r="AD41">
        <v>0</v>
      </c>
      <c r="AE41">
        <v>0</v>
      </c>
      <c r="AF41" t="s">
        <v>188</v>
      </c>
      <c r="AG41" t="s">
        <v>63</v>
      </c>
      <c r="AH41" t="s">
        <v>113</v>
      </c>
      <c r="AI41">
        <v>0</v>
      </c>
      <c r="AJ41">
        <v>0</v>
      </c>
      <c r="AK41" t="s">
        <v>171</v>
      </c>
    </row>
    <row r="42" spans="1:37" x14ac:dyDescent="0.25">
      <c r="A42" t="s">
        <v>336</v>
      </c>
      <c r="B42" t="str">
        <f t="shared" si="0"/>
        <v>2013</v>
      </c>
      <c r="C42" t="str">
        <f t="shared" si="1"/>
        <v>08</v>
      </c>
      <c r="D42" t="s">
        <v>337</v>
      </c>
      <c r="E42" t="s">
        <v>338</v>
      </c>
      <c r="F42">
        <v>0</v>
      </c>
      <c r="G42" t="s">
        <v>63</v>
      </c>
      <c r="H42">
        <v>0</v>
      </c>
      <c r="I42" t="s">
        <v>339</v>
      </c>
      <c r="J42">
        <v>0</v>
      </c>
      <c r="K42" t="s">
        <v>340</v>
      </c>
      <c r="L42" t="s">
        <v>40</v>
      </c>
      <c r="M42" t="s">
        <v>341</v>
      </c>
      <c r="N42">
        <v>0</v>
      </c>
      <c r="O42" t="s">
        <v>342</v>
      </c>
      <c r="P42">
        <v>0</v>
      </c>
      <c r="Q42" t="s">
        <v>263</v>
      </c>
      <c r="R42" t="s">
        <v>343</v>
      </c>
      <c r="S42" t="s">
        <v>152</v>
      </c>
      <c r="T42">
        <v>0</v>
      </c>
      <c r="U42" t="s">
        <v>45</v>
      </c>
      <c r="V42" t="s">
        <v>171</v>
      </c>
      <c r="W42">
        <v>0</v>
      </c>
      <c r="X42">
        <v>0</v>
      </c>
      <c r="Y42">
        <v>0</v>
      </c>
      <c r="Z42" t="s">
        <v>300</v>
      </c>
      <c r="AA42">
        <v>0</v>
      </c>
      <c r="AB42">
        <v>0</v>
      </c>
      <c r="AC42" t="s">
        <v>51</v>
      </c>
      <c r="AD42">
        <v>0</v>
      </c>
      <c r="AE42">
        <v>0</v>
      </c>
      <c r="AF42" t="s">
        <v>188</v>
      </c>
      <c r="AG42">
        <v>0</v>
      </c>
      <c r="AH42" t="s">
        <v>113</v>
      </c>
      <c r="AI42">
        <v>0</v>
      </c>
      <c r="AJ42">
        <v>0</v>
      </c>
      <c r="AK42" t="s">
        <v>171</v>
      </c>
    </row>
    <row r="43" spans="1:37" x14ac:dyDescent="0.25">
      <c r="A43" t="s">
        <v>344</v>
      </c>
      <c r="B43" t="str">
        <f t="shared" si="0"/>
        <v>2013</v>
      </c>
      <c r="C43" t="str">
        <f t="shared" si="1"/>
        <v>09</v>
      </c>
      <c r="D43" t="s">
        <v>345</v>
      </c>
      <c r="E43" t="s">
        <v>346</v>
      </c>
      <c r="F43">
        <v>0</v>
      </c>
      <c r="G43" t="s">
        <v>63</v>
      </c>
      <c r="H43">
        <v>0</v>
      </c>
      <c r="I43" t="s">
        <v>347</v>
      </c>
      <c r="J43">
        <v>0</v>
      </c>
      <c r="K43" t="s">
        <v>348</v>
      </c>
      <c r="L43" t="s">
        <v>40</v>
      </c>
      <c r="M43" t="s">
        <v>349</v>
      </c>
      <c r="N43">
        <v>0</v>
      </c>
      <c r="O43" t="s">
        <v>350</v>
      </c>
      <c r="P43">
        <v>0</v>
      </c>
      <c r="Q43" t="s">
        <v>351</v>
      </c>
      <c r="R43" t="s">
        <v>352</v>
      </c>
      <c r="S43" t="s">
        <v>53</v>
      </c>
      <c r="T43">
        <v>0</v>
      </c>
      <c r="U43" t="s">
        <v>300</v>
      </c>
      <c r="V43" t="s">
        <v>119</v>
      </c>
      <c r="W43">
        <v>0</v>
      </c>
      <c r="X43">
        <v>0</v>
      </c>
      <c r="Y43">
        <v>0</v>
      </c>
      <c r="Z43" t="s">
        <v>353</v>
      </c>
      <c r="AA43">
        <v>0</v>
      </c>
      <c r="AB43">
        <v>0</v>
      </c>
      <c r="AC43" t="s">
        <v>134</v>
      </c>
      <c r="AD43">
        <v>0</v>
      </c>
      <c r="AE43">
        <v>0</v>
      </c>
      <c r="AF43" t="s">
        <v>188</v>
      </c>
      <c r="AG43">
        <v>0</v>
      </c>
      <c r="AH43" t="s">
        <v>63</v>
      </c>
      <c r="AI43">
        <v>0</v>
      </c>
      <c r="AJ43">
        <v>0</v>
      </c>
      <c r="AK43" t="s">
        <v>171</v>
      </c>
    </row>
    <row r="44" spans="1:37" x14ac:dyDescent="0.25">
      <c r="A44" t="s">
        <v>354</v>
      </c>
      <c r="B44" t="str">
        <f t="shared" si="0"/>
        <v>2013</v>
      </c>
      <c r="C44" t="str">
        <f t="shared" si="1"/>
        <v>10</v>
      </c>
      <c r="D44" t="s">
        <v>355</v>
      </c>
      <c r="E44" t="s">
        <v>356</v>
      </c>
      <c r="F44">
        <v>0</v>
      </c>
      <c r="G44" t="s">
        <v>113</v>
      </c>
      <c r="H44">
        <v>0</v>
      </c>
      <c r="I44" t="s">
        <v>357</v>
      </c>
      <c r="J44">
        <v>0</v>
      </c>
      <c r="K44" t="s">
        <v>358</v>
      </c>
      <c r="L44" t="s">
        <v>72</v>
      </c>
      <c r="M44" t="s">
        <v>270</v>
      </c>
      <c r="N44">
        <v>0</v>
      </c>
      <c r="O44" t="s">
        <v>114</v>
      </c>
      <c r="P44">
        <v>0</v>
      </c>
      <c r="Q44" t="s">
        <v>359</v>
      </c>
      <c r="R44" t="s">
        <v>352</v>
      </c>
      <c r="S44" t="s">
        <v>152</v>
      </c>
      <c r="T44">
        <v>0</v>
      </c>
      <c r="U44" t="s">
        <v>360</v>
      </c>
      <c r="V44" t="s">
        <v>119</v>
      </c>
      <c r="W44">
        <v>0</v>
      </c>
      <c r="X44">
        <v>0</v>
      </c>
      <c r="Y44">
        <v>0</v>
      </c>
      <c r="Z44" t="s">
        <v>72</v>
      </c>
      <c r="AA44">
        <v>0</v>
      </c>
      <c r="AB44">
        <v>0</v>
      </c>
      <c r="AC44" t="s">
        <v>134</v>
      </c>
      <c r="AD44">
        <v>0</v>
      </c>
      <c r="AE44">
        <v>0</v>
      </c>
      <c r="AF44" t="s">
        <v>171</v>
      </c>
      <c r="AG44">
        <v>0</v>
      </c>
      <c r="AH44" t="s">
        <v>113</v>
      </c>
      <c r="AI44">
        <v>0</v>
      </c>
      <c r="AJ44">
        <v>0</v>
      </c>
      <c r="AK44" t="s">
        <v>41</v>
      </c>
    </row>
    <row r="45" spans="1:37" x14ac:dyDescent="0.25">
      <c r="A45" t="s">
        <v>361</v>
      </c>
      <c r="B45" t="str">
        <f t="shared" si="0"/>
        <v>2013</v>
      </c>
      <c r="C45" t="str">
        <f t="shared" si="1"/>
        <v>11</v>
      </c>
      <c r="D45" t="s">
        <v>362</v>
      </c>
      <c r="E45" t="s">
        <v>363</v>
      </c>
      <c r="F45">
        <v>0</v>
      </c>
      <c r="G45" t="s">
        <v>113</v>
      </c>
      <c r="H45">
        <v>0</v>
      </c>
      <c r="I45" t="s">
        <v>364</v>
      </c>
      <c r="J45">
        <v>0</v>
      </c>
      <c r="K45" t="s">
        <v>365</v>
      </c>
      <c r="L45" t="s">
        <v>353</v>
      </c>
      <c r="M45" t="s">
        <v>270</v>
      </c>
      <c r="N45">
        <v>0</v>
      </c>
      <c r="O45" t="s">
        <v>366</v>
      </c>
      <c r="P45">
        <v>0</v>
      </c>
      <c r="Q45" t="s">
        <v>367</v>
      </c>
      <c r="R45" t="s">
        <v>368</v>
      </c>
      <c r="S45" t="s">
        <v>76</v>
      </c>
      <c r="T45">
        <v>0</v>
      </c>
      <c r="U45" t="s">
        <v>293</v>
      </c>
      <c r="V45" t="s">
        <v>41</v>
      </c>
      <c r="W45">
        <v>0</v>
      </c>
      <c r="X45">
        <v>0</v>
      </c>
      <c r="Y45">
        <v>0</v>
      </c>
      <c r="Z45" t="s">
        <v>369</v>
      </c>
      <c r="AA45">
        <v>0</v>
      </c>
      <c r="AB45">
        <v>0</v>
      </c>
      <c r="AC45" t="s">
        <v>51</v>
      </c>
      <c r="AD45">
        <v>0</v>
      </c>
      <c r="AE45">
        <v>0</v>
      </c>
      <c r="AF45" t="s">
        <v>64</v>
      </c>
      <c r="AG45">
        <v>0</v>
      </c>
      <c r="AH45" t="s">
        <v>52</v>
      </c>
      <c r="AI45" t="s">
        <v>63</v>
      </c>
      <c r="AJ45">
        <v>0</v>
      </c>
      <c r="AK45" t="s">
        <v>88</v>
      </c>
    </row>
    <row r="46" spans="1:37" x14ac:dyDescent="0.25">
      <c r="A46" t="s">
        <v>370</v>
      </c>
      <c r="B46" t="str">
        <f t="shared" si="0"/>
        <v>2013</v>
      </c>
      <c r="C46" t="str">
        <f t="shared" si="1"/>
        <v>12</v>
      </c>
      <c r="D46" t="s">
        <v>371</v>
      </c>
      <c r="E46" t="s">
        <v>372</v>
      </c>
      <c r="F46">
        <v>0</v>
      </c>
      <c r="G46" t="s">
        <v>113</v>
      </c>
      <c r="H46">
        <v>0</v>
      </c>
      <c r="I46" t="s">
        <v>373</v>
      </c>
      <c r="J46">
        <v>0</v>
      </c>
      <c r="K46" t="s">
        <v>374</v>
      </c>
      <c r="L46" t="s">
        <v>234</v>
      </c>
      <c r="M46" t="s">
        <v>375</v>
      </c>
      <c r="N46">
        <v>0</v>
      </c>
      <c r="O46" t="s">
        <v>376</v>
      </c>
      <c r="P46">
        <v>0</v>
      </c>
      <c r="Q46" t="s">
        <v>377</v>
      </c>
      <c r="R46" t="s">
        <v>375</v>
      </c>
      <c r="S46" t="s">
        <v>378</v>
      </c>
      <c r="T46">
        <v>0</v>
      </c>
      <c r="U46" t="s">
        <v>62</v>
      </c>
      <c r="V46" t="s">
        <v>120</v>
      </c>
      <c r="W46">
        <v>0</v>
      </c>
      <c r="X46">
        <v>0</v>
      </c>
      <c r="Y46">
        <v>0</v>
      </c>
      <c r="Z46" t="s">
        <v>379</v>
      </c>
      <c r="AA46">
        <v>0</v>
      </c>
      <c r="AB46">
        <v>0</v>
      </c>
      <c r="AC46" t="s">
        <v>90</v>
      </c>
      <c r="AD46">
        <v>0</v>
      </c>
      <c r="AE46">
        <v>0</v>
      </c>
      <c r="AF46" t="s">
        <v>128</v>
      </c>
      <c r="AG46">
        <v>0</v>
      </c>
      <c r="AH46" t="s">
        <v>188</v>
      </c>
      <c r="AI46">
        <v>0</v>
      </c>
      <c r="AJ46" t="s">
        <v>63</v>
      </c>
      <c r="AK46" t="s">
        <v>128</v>
      </c>
    </row>
    <row r="47" spans="1:37" x14ac:dyDescent="0.25">
      <c r="A47" t="s">
        <v>380</v>
      </c>
      <c r="B47" t="str">
        <f t="shared" si="0"/>
        <v>2014</v>
      </c>
      <c r="C47" t="str">
        <f t="shared" si="1"/>
        <v>01</v>
      </c>
      <c r="D47" t="s">
        <v>381</v>
      </c>
      <c r="E47" t="s">
        <v>382</v>
      </c>
      <c r="F47">
        <v>0</v>
      </c>
      <c r="G47" t="s">
        <v>63</v>
      </c>
      <c r="H47">
        <v>0</v>
      </c>
      <c r="I47" t="s">
        <v>383</v>
      </c>
      <c r="J47">
        <v>0</v>
      </c>
      <c r="K47" t="s">
        <v>384</v>
      </c>
      <c r="L47" t="s">
        <v>300</v>
      </c>
      <c r="M47" t="s">
        <v>385</v>
      </c>
      <c r="N47">
        <v>0</v>
      </c>
      <c r="O47" t="s">
        <v>140</v>
      </c>
      <c r="P47">
        <v>0</v>
      </c>
      <c r="Q47" t="s">
        <v>232</v>
      </c>
      <c r="R47" t="s">
        <v>386</v>
      </c>
      <c r="S47" t="s">
        <v>107</v>
      </c>
      <c r="T47">
        <v>0</v>
      </c>
      <c r="U47" t="s">
        <v>75</v>
      </c>
      <c r="V47" t="s">
        <v>171</v>
      </c>
      <c r="W47">
        <v>0</v>
      </c>
      <c r="X47">
        <v>0</v>
      </c>
      <c r="Y47">
        <v>0</v>
      </c>
      <c r="Z47" t="s">
        <v>353</v>
      </c>
      <c r="AA47">
        <v>0</v>
      </c>
      <c r="AB47">
        <v>0</v>
      </c>
      <c r="AC47" t="s">
        <v>134</v>
      </c>
      <c r="AD47">
        <v>0</v>
      </c>
      <c r="AE47">
        <v>0</v>
      </c>
      <c r="AF47" t="s">
        <v>120</v>
      </c>
      <c r="AG47">
        <v>0</v>
      </c>
      <c r="AH47" t="s">
        <v>216</v>
      </c>
      <c r="AI47">
        <v>0</v>
      </c>
      <c r="AJ47">
        <v>0</v>
      </c>
      <c r="AK47" t="s">
        <v>41</v>
      </c>
    </row>
    <row r="48" spans="1:37" x14ac:dyDescent="0.25">
      <c r="A48" t="s">
        <v>387</v>
      </c>
      <c r="B48" t="str">
        <f t="shared" si="0"/>
        <v>2014</v>
      </c>
      <c r="C48" t="str">
        <f t="shared" si="1"/>
        <v>02</v>
      </c>
      <c r="D48" t="s">
        <v>388</v>
      </c>
      <c r="E48" t="s">
        <v>389</v>
      </c>
      <c r="F48" t="s">
        <v>41</v>
      </c>
      <c r="G48" t="s">
        <v>63</v>
      </c>
      <c r="H48">
        <v>0</v>
      </c>
      <c r="I48" t="s">
        <v>390</v>
      </c>
      <c r="J48">
        <v>0</v>
      </c>
      <c r="K48" t="s">
        <v>391</v>
      </c>
      <c r="L48" t="s">
        <v>207</v>
      </c>
      <c r="M48" t="s">
        <v>392</v>
      </c>
      <c r="N48">
        <v>0</v>
      </c>
      <c r="O48" t="s">
        <v>178</v>
      </c>
      <c r="P48">
        <v>0</v>
      </c>
      <c r="Q48" t="s">
        <v>393</v>
      </c>
      <c r="R48" t="s">
        <v>394</v>
      </c>
      <c r="S48" t="s">
        <v>106</v>
      </c>
      <c r="T48">
        <v>0</v>
      </c>
      <c r="U48" t="s">
        <v>76</v>
      </c>
      <c r="V48" t="s">
        <v>119</v>
      </c>
      <c r="W48">
        <v>0</v>
      </c>
      <c r="X48">
        <v>0</v>
      </c>
      <c r="Y48">
        <v>0</v>
      </c>
      <c r="Z48" t="s">
        <v>193</v>
      </c>
      <c r="AA48">
        <v>0</v>
      </c>
      <c r="AB48">
        <v>0</v>
      </c>
      <c r="AC48" t="s">
        <v>76</v>
      </c>
      <c r="AD48">
        <v>0</v>
      </c>
      <c r="AE48">
        <v>0</v>
      </c>
      <c r="AF48" t="s">
        <v>88</v>
      </c>
      <c r="AG48">
        <v>0</v>
      </c>
      <c r="AH48" t="s">
        <v>171</v>
      </c>
      <c r="AI48" t="s">
        <v>63</v>
      </c>
      <c r="AJ48">
        <v>0</v>
      </c>
      <c r="AK48" t="s">
        <v>64</v>
      </c>
    </row>
    <row r="49" spans="1:37" x14ac:dyDescent="0.25">
      <c r="A49" t="s">
        <v>395</v>
      </c>
      <c r="B49" t="str">
        <f t="shared" si="0"/>
        <v>2014</v>
      </c>
      <c r="C49" t="str">
        <f t="shared" si="1"/>
        <v>03</v>
      </c>
      <c r="D49" t="s">
        <v>396</v>
      </c>
      <c r="E49" t="s">
        <v>397</v>
      </c>
      <c r="F49" t="s">
        <v>42</v>
      </c>
      <c r="G49" t="s">
        <v>113</v>
      </c>
      <c r="H49">
        <v>0</v>
      </c>
      <c r="I49" t="s">
        <v>398</v>
      </c>
      <c r="J49">
        <v>0</v>
      </c>
      <c r="K49" t="s">
        <v>399</v>
      </c>
      <c r="L49" t="s">
        <v>55</v>
      </c>
      <c r="M49" t="s">
        <v>186</v>
      </c>
      <c r="N49">
        <v>0</v>
      </c>
      <c r="O49" t="s">
        <v>400</v>
      </c>
      <c r="P49">
        <v>0</v>
      </c>
      <c r="Q49" t="s">
        <v>153</v>
      </c>
      <c r="R49" t="s">
        <v>401</v>
      </c>
      <c r="S49" t="s">
        <v>378</v>
      </c>
      <c r="T49">
        <v>0</v>
      </c>
      <c r="U49" t="s">
        <v>72</v>
      </c>
      <c r="V49" t="s">
        <v>171</v>
      </c>
      <c r="W49">
        <v>0</v>
      </c>
      <c r="X49">
        <v>0</v>
      </c>
      <c r="Y49">
        <v>0</v>
      </c>
      <c r="Z49" t="s">
        <v>234</v>
      </c>
      <c r="AA49">
        <v>0</v>
      </c>
      <c r="AB49">
        <v>0</v>
      </c>
      <c r="AC49" t="s">
        <v>378</v>
      </c>
      <c r="AD49">
        <v>0</v>
      </c>
      <c r="AE49">
        <v>0</v>
      </c>
      <c r="AF49" t="s">
        <v>88</v>
      </c>
      <c r="AG49">
        <v>0</v>
      </c>
      <c r="AH49" t="s">
        <v>171</v>
      </c>
      <c r="AI49" t="s">
        <v>63</v>
      </c>
      <c r="AJ49" t="s">
        <v>63</v>
      </c>
      <c r="AK49" t="s">
        <v>41</v>
      </c>
    </row>
    <row r="50" spans="1:37" x14ac:dyDescent="0.25">
      <c r="A50" t="s">
        <v>402</v>
      </c>
      <c r="B50" t="str">
        <f t="shared" si="0"/>
        <v>2014</v>
      </c>
      <c r="C50" t="str">
        <f t="shared" si="1"/>
        <v>04</v>
      </c>
      <c r="D50" t="s">
        <v>403</v>
      </c>
      <c r="E50" t="s">
        <v>404</v>
      </c>
      <c r="F50" t="s">
        <v>51</v>
      </c>
      <c r="G50" t="s">
        <v>113</v>
      </c>
      <c r="H50">
        <v>0</v>
      </c>
      <c r="I50" t="s">
        <v>405</v>
      </c>
      <c r="J50">
        <v>0</v>
      </c>
      <c r="K50" t="s">
        <v>406</v>
      </c>
      <c r="L50" t="s">
        <v>207</v>
      </c>
      <c r="M50" t="s">
        <v>407</v>
      </c>
      <c r="N50">
        <v>0</v>
      </c>
      <c r="O50" t="s">
        <v>408</v>
      </c>
      <c r="P50">
        <v>0</v>
      </c>
      <c r="Q50" t="s">
        <v>409</v>
      </c>
      <c r="R50" t="s">
        <v>307</v>
      </c>
      <c r="S50" t="s">
        <v>76</v>
      </c>
      <c r="T50">
        <v>0</v>
      </c>
      <c r="U50" t="s">
        <v>410</v>
      </c>
      <c r="V50" t="s">
        <v>120</v>
      </c>
      <c r="W50">
        <v>0</v>
      </c>
      <c r="X50">
        <v>0</v>
      </c>
      <c r="Y50">
        <v>0</v>
      </c>
      <c r="Z50" t="s">
        <v>97</v>
      </c>
      <c r="AA50">
        <v>0</v>
      </c>
      <c r="AB50">
        <v>0</v>
      </c>
      <c r="AC50" t="s">
        <v>56</v>
      </c>
      <c r="AD50">
        <v>0</v>
      </c>
      <c r="AE50">
        <v>0</v>
      </c>
      <c r="AF50" t="s">
        <v>91</v>
      </c>
      <c r="AG50">
        <v>0</v>
      </c>
      <c r="AH50" t="s">
        <v>120</v>
      </c>
      <c r="AI50" t="s">
        <v>63</v>
      </c>
      <c r="AJ50" t="s">
        <v>63</v>
      </c>
      <c r="AK50" t="s">
        <v>128</v>
      </c>
    </row>
    <row r="51" spans="1:37" x14ac:dyDescent="0.25">
      <c r="A51" t="s">
        <v>411</v>
      </c>
      <c r="B51" t="str">
        <f t="shared" si="0"/>
        <v>2014</v>
      </c>
      <c r="C51" t="str">
        <f t="shared" si="1"/>
        <v>05</v>
      </c>
      <c r="D51" t="s">
        <v>412</v>
      </c>
      <c r="E51" t="s">
        <v>413</v>
      </c>
      <c r="F51" t="s">
        <v>72</v>
      </c>
      <c r="G51" t="s">
        <v>113</v>
      </c>
      <c r="H51">
        <v>0</v>
      </c>
      <c r="I51" t="s">
        <v>414</v>
      </c>
      <c r="J51">
        <v>0</v>
      </c>
      <c r="K51" t="s">
        <v>415</v>
      </c>
      <c r="L51" t="s">
        <v>379</v>
      </c>
      <c r="M51" t="s">
        <v>82</v>
      </c>
      <c r="N51">
        <v>0</v>
      </c>
      <c r="O51" t="s">
        <v>416</v>
      </c>
      <c r="P51">
        <v>0</v>
      </c>
      <c r="Q51" t="s">
        <v>417</v>
      </c>
      <c r="R51" t="s">
        <v>223</v>
      </c>
      <c r="S51" t="s">
        <v>76</v>
      </c>
      <c r="T51">
        <v>0</v>
      </c>
      <c r="U51" t="s">
        <v>343</v>
      </c>
      <c r="V51" t="s">
        <v>88</v>
      </c>
      <c r="W51">
        <v>0</v>
      </c>
      <c r="X51">
        <v>0</v>
      </c>
      <c r="Y51">
        <v>0</v>
      </c>
      <c r="Z51" t="s">
        <v>240</v>
      </c>
      <c r="AA51">
        <v>0</v>
      </c>
      <c r="AB51">
        <v>0</v>
      </c>
      <c r="AC51" t="s">
        <v>126</v>
      </c>
      <c r="AD51">
        <v>0</v>
      </c>
      <c r="AE51">
        <v>0</v>
      </c>
      <c r="AF51" t="s">
        <v>378</v>
      </c>
      <c r="AG51">
        <v>0</v>
      </c>
      <c r="AH51" t="s">
        <v>120</v>
      </c>
      <c r="AI51" t="s">
        <v>63</v>
      </c>
      <c r="AJ51" t="s">
        <v>63</v>
      </c>
      <c r="AK51" t="s">
        <v>107</v>
      </c>
    </row>
    <row r="52" spans="1:37" x14ac:dyDescent="0.25">
      <c r="A52" t="s">
        <v>418</v>
      </c>
      <c r="B52" t="str">
        <f t="shared" si="0"/>
        <v>2014</v>
      </c>
      <c r="C52" t="str">
        <f t="shared" si="1"/>
        <v>06</v>
      </c>
      <c r="D52" t="s">
        <v>419</v>
      </c>
      <c r="E52" t="s">
        <v>420</v>
      </c>
      <c r="F52" t="s">
        <v>421</v>
      </c>
      <c r="G52" t="s">
        <v>63</v>
      </c>
      <c r="H52">
        <v>0</v>
      </c>
      <c r="I52" t="s">
        <v>422</v>
      </c>
      <c r="J52">
        <v>0</v>
      </c>
      <c r="K52" t="s">
        <v>423</v>
      </c>
      <c r="L52" t="s">
        <v>424</v>
      </c>
      <c r="M52" t="s">
        <v>425</v>
      </c>
      <c r="N52">
        <v>0</v>
      </c>
      <c r="O52" t="s">
        <v>426</v>
      </c>
      <c r="P52">
        <v>0</v>
      </c>
      <c r="Q52" t="s">
        <v>427</v>
      </c>
      <c r="R52" t="s">
        <v>428</v>
      </c>
      <c r="S52" t="s">
        <v>56</v>
      </c>
      <c r="T52">
        <v>0</v>
      </c>
      <c r="U52" t="s">
        <v>240</v>
      </c>
      <c r="V52" t="s">
        <v>64</v>
      </c>
      <c r="W52">
        <v>0</v>
      </c>
      <c r="X52">
        <v>0</v>
      </c>
      <c r="Y52">
        <v>0</v>
      </c>
      <c r="Z52" t="s">
        <v>226</v>
      </c>
      <c r="AA52">
        <v>0</v>
      </c>
      <c r="AB52">
        <v>0</v>
      </c>
      <c r="AC52" t="s">
        <v>126</v>
      </c>
      <c r="AD52">
        <v>0</v>
      </c>
      <c r="AE52">
        <v>0</v>
      </c>
      <c r="AF52" t="s">
        <v>378</v>
      </c>
      <c r="AG52">
        <v>0</v>
      </c>
      <c r="AH52" t="s">
        <v>128</v>
      </c>
      <c r="AI52">
        <v>0</v>
      </c>
      <c r="AJ52" t="s">
        <v>63</v>
      </c>
      <c r="AK52" t="s">
        <v>73</v>
      </c>
    </row>
    <row r="53" spans="1:37" x14ac:dyDescent="0.25">
      <c r="A53" t="s">
        <v>429</v>
      </c>
      <c r="B53" t="str">
        <f t="shared" si="0"/>
        <v>2014</v>
      </c>
      <c r="C53" t="str">
        <f t="shared" si="1"/>
        <v>07</v>
      </c>
      <c r="D53" t="s">
        <v>430</v>
      </c>
      <c r="E53" t="s">
        <v>431</v>
      </c>
      <c r="F53" t="s">
        <v>432</v>
      </c>
      <c r="G53" t="s">
        <v>52</v>
      </c>
      <c r="H53">
        <v>0</v>
      </c>
      <c r="I53" t="s">
        <v>433</v>
      </c>
      <c r="J53">
        <v>0</v>
      </c>
      <c r="K53" t="s">
        <v>434</v>
      </c>
      <c r="L53" t="s">
        <v>435</v>
      </c>
      <c r="M53" t="s">
        <v>178</v>
      </c>
      <c r="N53">
        <v>0</v>
      </c>
      <c r="O53" t="s">
        <v>436</v>
      </c>
      <c r="P53" t="s">
        <v>90</v>
      </c>
      <c r="Q53" t="s">
        <v>114</v>
      </c>
      <c r="R53" t="s">
        <v>437</v>
      </c>
      <c r="S53" t="s">
        <v>126</v>
      </c>
      <c r="T53">
        <v>0</v>
      </c>
      <c r="U53" t="s">
        <v>240</v>
      </c>
      <c r="V53" t="s">
        <v>120</v>
      </c>
      <c r="W53">
        <v>0</v>
      </c>
      <c r="X53">
        <v>0</v>
      </c>
      <c r="Y53">
        <v>0</v>
      </c>
      <c r="Z53" t="s">
        <v>234</v>
      </c>
      <c r="AA53">
        <v>0</v>
      </c>
      <c r="AB53">
        <v>0</v>
      </c>
      <c r="AC53" t="s">
        <v>152</v>
      </c>
      <c r="AD53">
        <v>0</v>
      </c>
      <c r="AE53">
        <v>0</v>
      </c>
      <c r="AF53" t="s">
        <v>152</v>
      </c>
      <c r="AG53">
        <v>0</v>
      </c>
      <c r="AH53" t="s">
        <v>120</v>
      </c>
      <c r="AI53">
        <v>0</v>
      </c>
      <c r="AJ53" t="s">
        <v>63</v>
      </c>
      <c r="AK53" t="s">
        <v>128</v>
      </c>
    </row>
    <row r="54" spans="1:37" x14ac:dyDescent="0.25">
      <c r="A54" t="s">
        <v>438</v>
      </c>
      <c r="B54" t="str">
        <f t="shared" si="0"/>
        <v>2014</v>
      </c>
      <c r="C54" t="str">
        <f t="shared" si="1"/>
        <v>08</v>
      </c>
      <c r="D54" t="s">
        <v>439</v>
      </c>
      <c r="E54" t="s">
        <v>440</v>
      </c>
      <c r="F54" t="s">
        <v>437</v>
      </c>
      <c r="G54" t="s">
        <v>188</v>
      </c>
      <c r="H54">
        <v>0</v>
      </c>
      <c r="I54" t="s">
        <v>441</v>
      </c>
      <c r="J54">
        <v>0</v>
      </c>
      <c r="K54" t="s">
        <v>365</v>
      </c>
      <c r="L54" t="s">
        <v>249</v>
      </c>
      <c r="M54">
        <v>2</v>
      </c>
      <c r="N54">
        <v>0</v>
      </c>
      <c r="O54" t="s">
        <v>176</v>
      </c>
      <c r="P54" t="s">
        <v>442</v>
      </c>
      <c r="Q54" t="s">
        <v>96</v>
      </c>
      <c r="R54" t="s">
        <v>232</v>
      </c>
      <c r="S54" t="s">
        <v>378</v>
      </c>
      <c r="T54">
        <v>0</v>
      </c>
      <c r="U54" t="s">
        <v>443</v>
      </c>
      <c r="V54" t="s">
        <v>120</v>
      </c>
      <c r="W54">
        <v>0</v>
      </c>
      <c r="X54">
        <v>0</v>
      </c>
      <c r="Y54">
        <v>0</v>
      </c>
      <c r="Z54" t="s">
        <v>193</v>
      </c>
      <c r="AA54">
        <v>0</v>
      </c>
      <c r="AB54">
        <v>0</v>
      </c>
      <c r="AC54" t="s">
        <v>134</v>
      </c>
      <c r="AD54">
        <v>0</v>
      </c>
      <c r="AE54">
        <v>0</v>
      </c>
      <c r="AF54" t="s">
        <v>134</v>
      </c>
      <c r="AG54">
        <v>0</v>
      </c>
      <c r="AH54" t="s">
        <v>119</v>
      </c>
      <c r="AI54">
        <v>0</v>
      </c>
      <c r="AJ54" t="s">
        <v>63</v>
      </c>
      <c r="AK54" t="s">
        <v>152</v>
      </c>
    </row>
    <row r="55" spans="1:37" x14ac:dyDescent="0.25">
      <c r="A55" t="s">
        <v>444</v>
      </c>
      <c r="B55" t="str">
        <f t="shared" si="0"/>
        <v>2014</v>
      </c>
      <c r="C55" t="str">
        <f t="shared" si="1"/>
        <v>09</v>
      </c>
      <c r="D55" t="s">
        <v>445</v>
      </c>
      <c r="E55" t="s">
        <v>446</v>
      </c>
      <c r="F55" t="s">
        <v>447</v>
      </c>
      <c r="G55" t="s">
        <v>171</v>
      </c>
      <c r="H55">
        <v>0</v>
      </c>
      <c r="I55" t="s">
        <v>448</v>
      </c>
      <c r="J55">
        <v>0</v>
      </c>
      <c r="K55" t="s">
        <v>449</v>
      </c>
      <c r="L55" t="s">
        <v>217</v>
      </c>
      <c r="M55">
        <v>2</v>
      </c>
      <c r="N55">
        <v>0</v>
      </c>
      <c r="O55" t="s">
        <v>416</v>
      </c>
      <c r="P55" t="s">
        <v>450</v>
      </c>
      <c r="Q55" t="s">
        <v>451</v>
      </c>
      <c r="R55" t="s">
        <v>170</v>
      </c>
      <c r="S55" t="s">
        <v>106</v>
      </c>
      <c r="T55">
        <v>0</v>
      </c>
      <c r="U55" t="s">
        <v>452</v>
      </c>
      <c r="V55" t="s">
        <v>104</v>
      </c>
      <c r="W55">
        <v>0</v>
      </c>
      <c r="X55">
        <v>0</v>
      </c>
      <c r="Y55">
        <v>0</v>
      </c>
      <c r="Z55" t="s">
        <v>435</v>
      </c>
      <c r="AA55">
        <v>0</v>
      </c>
      <c r="AB55">
        <v>0</v>
      </c>
      <c r="AC55" t="s">
        <v>126</v>
      </c>
      <c r="AD55">
        <v>0</v>
      </c>
      <c r="AE55">
        <v>0</v>
      </c>
      <c r="AF55" t="s">
        <v>90</v>
      </c>
      <c r="AG55">
        <v>0</v>
      </c>
      <c r="AH55" t="s">
        <v>119</v>
      </c>
      <c r="AI55" t="s">
        <v>63</v>
      </c>
      <c r="AJ55" t="s">
        <v>63</v>
      </c>
      <c r="AK55" t="s">
        <v>152</v>
      </c>
    </row>
    <row r="56" spans="1:37" x14ac:dyDescent="0.25">
      <c r="A56" t="s">
        <v>453</v>
      </c>
      <c r="B56" t="str">
        <f t="shared" si="0"/>
        <v>2014</v>
      </c>
      <c r="C56" t="str">
        <f t="shared" si="1"/>
        <v>10</v>
      </c>
      <c r="D56" t="s">
        <v>454</v>
      </c>
      <c r="E56" t="s">
        <v>455</v>
      </c>
      <c r="F56" t="s">
        <v>456</v>
      </c>
      <c r="G56" t="s">
        <v>120</v>
      </c>
      <c r="H56">
        <v>0</v>
      </c>
      <c r="I56" t="s">
        <v>457</v>
      </c>
      <c r="J56">
        <v>0</v>
      </c>
      <c r="K56" t="s">
        <v>458</v>
      </c>
      <c r="L56" t="s">
        <v>240</v>
      </c>
      <c r="M56" t="s">
        <v>459</v>
      </c>
      <c r="N56">
        <v>0</v>
      </c>
      <c r="O56" t="s">
        <v>158</v>
      </c>
      <c r="P56" t="s">
        <v>460</v>
      </c>
      <c r="Q56" t="s">
        <v>461</v>
      </c>
      <c r="R56" t="s">
        <v>307</v>
      </c>
      <c r="S56" t="s">
        <v>40</v>
      </c>
      <c r="T56">
        <v>0</v>
      </c>
      <c r="U56" t="s">
        <v>249</v>
      </c>
      <c r="V56" t="s">
        <v>88</v>
      </c>
      <c r="W56" t="s">
        <v>63</v>
      </c>
      <c r="X56">
        <v>0</v>
      </c>
      <c r="Y56">
        <v>0</v>
      </c>
      <c r="Z56" t="s">
        <v>435</v>
      </c>
      <c r="AA56">
        <v>0</v>
      </c>
      <c r="AB56">
        <v>0</v>
      </c>
      <c r="AC56" t="s">
        <v>152</v>
      </c>
      <c r="AD56">
        <v>0</v>
      </c>
      <c r="AE56">
        <v>0</v>
      </c>
      <c r="AF56" t="s">
        <v>56</v>
      </c>
      <c r="AG56">
        <v>0</v>
      </c>
      <c r="AH56" t="s">
        <v>41</v>
      </c>
      <c r="AI56" t="s">
        <v>113</v>
      </c>
      <c r="AJ56" t="s">
        <v>63</v>
      </c>
      <c r="AK56" t="s">
        <v>107</v>
      </c>
    </row>
    <row r="57" spans="1:37" x14ac:dyDescent="0.25">
      <c r="A57" t="s">
        <v>462</v>
      </c>
      <c r="B57" t="str">
        <f t="shared" si="0"/>
        <v>2014</v>
      </c>
      <c r="C57" t="str">
        <f t="shared" si="1"/>
        <v>11</v>
      </c>
      <c r="D57" t="s">
        <v>463</v>
      </c>
      <c r="E57" t="s">
        <v>464</v>
      </c>
      <c r="F57" t="s">
        <v>306</v>
      </c>
      <c r="G57" t="s">
        <v>64</v>
      </c>
      <c r="H57">
        <v>0</v>
      </c>
      <c r="I57" t="s">
        <v>465</v>
      </c>
      <c r="J57">
        <v>0</v>
      </c>
      <c r="K57" t="s">
        <v>466</v>
      </c>
      <c r="L57" t="s">
        <v>217</v>
      </c>
      <c r="M57" t="s">
        <v>467</v>
      </c>
      <c r="N57">
        <v>0</v>
      </c>
      <c r="O57" t="s">
        <v>468</v>
      </c>
      <c r="P57" t="s">
        <v>469</v>
      </c>
      <c r="Q57" t="s">
        <v>470</v>
      </c>
      <c r="R57" t="s">
        <v>471</v>
      </c>
      <c r="S57" t="s">
        <v>410</v>
      </c>
      <c r="T57">
        <v>0</v>
      </c>
      <c r="U57" t="s">
        <v>432</v>
      </c>
      <c r="V57" t="s">
        <v>91</v>
      </c>
      <c r="W57" t="s">
        <v>63</v>
      </c>
      <c r="X57">
        <v>0</v>
      </c>
      <c r="Y57">
        <v>0</v>
      </c>
      <c r="Z57" t="s">
        <v>242</v>
      </c>
      <c r="AA57">
        <v>0</v>
      </c>
      <c r="AB57" t="s">
        <v>63</v>
      </c>
      <c r="AC57" t="s">
        <v>91</v>
      </c>
      <c r="AD57" t="s">
        <v>52</v>
      </c>
      <c r="AE57">
        <v>0</v>
      </c>
      <c r="AF57" t="s">
        <v>56</v>
      </c>
      <c r="AG57">
        <v>0</v>
      </c>
      <c r="AH57" t="s">
        <v>104</v>
      </c>
      <c r="AI57" t="s">
        <v>113</v>
      </c>
      <c r="AJ57" t="s">
        <v>63</v>
      </c>
      <c r="AK57" t="s">
        <v>91</v>
      </c>
    </row>
    <row r="58" spans="1:37" x14ac:dyDescent="0.25">
      <c r="A58" t="s">
        <v>472</v>
      </c>
      <c r="B58" t="str">
        <f t="shared" si="0"/>
        <v>2014</v>
      </c>
      <c r="C58" t="str">
        <f t="shared" si="1"/>
        <v>12</v>
      </c>
      <c r="D58" t="s">
        <v>473</v>
      </c>
      <c r="E58" t="s">
        <v>474</v>
      </c>
      <c r="F58" t="s">
        <v>292</v>
      </c>
      <c r="G58" t="s">
        <v>104</v>
      </c>
      <c r="H58">
        <v>0</v>
      </c>
      <c r="I58" t="s">
        <v>475</v>
      </c>
      <c r="J58">
        <v>0</v>
      </c>
      <c r="K58" t="s">
        <v>476</v>
      </c>
      <c r="L58" t="s">
        <v>477</v>
      </c>
      <c r="M58" t="s">
        <v>478</v>
      </c>
      <c r="N58">
        <v>0</v>
      </c>
      <c r="O58" t="s">
        <v>479</v>
      </c>
      <c r="P58" t="s">
        <v>480</v>
      </c>
      <c r="Q58" t="s">
        <v>481</v>
      </c>
      <c r="R58" t="s">
        <v>96</v>
      </c>
      <c r="S58" t="s">
        <v>201</v>
      </c>
      <c r="T58">
        <v>0</v>
      </c>
      <c r="U58" t="s">
        <v>482</v>
      </c>
      <c r="V58" t="s">
        <v>107</v>
      </c>
      <c r="W58" t="s">
        <v>63</v>
      </c>
      <c r="X58">
        <v>0</v>
      </c>
      <c r="Y58">
        <v>0</v>
      </c>
      <c r="Z58" t="s">
        <v>379</v>
      </c>
      <c r="AA58">
        <v>0</v>
      </c>
      <c r="AB58" t="s">
        <v>63</v>
      </c>
      <c r="AC58" t="s">
        <v>91</v>
      </c>
      <c r="AD58" t="s">
        <v>216</v>
      </c>
      <c r="AE58">
        <v>0</v>
      </c>
      <c r="AF58" t="s">
        <v>134</v>
      </c>
      <c r="AG58">
        <v>0</v>
      </c>
      <c r="AH58" t="s">
        <v>104</v>
      </c>
      <c r="AI58" t="s">
        <v>63</v>
      </c>
      <c r="AJ58" t="s">
        <v>63</v>
      </c>
      <c r="AK58" t="s">
        <v>66</v>
      </c>
    </row>
    <row r="59" spans="1:37" x14ac:dyDescent="0.25">
      <c r="A59" t="s">
        <v>483</v>
      </c>
      <c r="B59" t="str">
        <f t="shared" si="0"/>
        <v>2015</v>
      </c>
      <c r="C59" t="str">
        <f t="shared" si="1"/>
        <v>01</v>
      </c>
      <c r="D59" t="s">
        <v>484</v>
      </c>
      <c r="E59" t="s">
        <v>485</v>
      </c>
      <c r="F59" t="s">
        <v>184</v>
      </c>
      <c r="G59" t="s">
        <v>41</v>
      </c>
      <c r="H59">
        <v>0</v>
      </c>
      <c r="I59" t="s">
        <v>486</v>
      </c>
      <c r="J59">
        <v>0</v>
      </c>
      <c r="K59" t="s">
        <v>487</v>
      </c>
      <c r="L59" t="s">
        <v>488</v>
      </c>
      <c r="M59" t="s">
        <v>467</v>
      </c>
      <c r="N59">
        <v>0</v>
      </c>
      <c r="O59" t="s">
        <v>489</v>
      </c>
      <c r="P59" t="s">
        <v>37</v>
      </c>
      <c r="Q59" t="s">
        <v>490</v>
      </c>
      <c r="R59" t="s">
        <v>367</v>
      </c>
      <c r="S59" t="s">
        <v>435</v>
      </c>
      <c r="T59">
        <v>0</v>
      </c>
      <c r="U59" t="s">
        <v>177</v>
      </c>
      <c r="V59" t="s">
        <v>41</v>
      </c>
      <c r="W59" t="s">
        <v>63</v>
      </c>
      <c r="X59">
        <v>0</v>
      </c>
      <c r="Y59">
        <v>0</v>
      </c>
      <c r="Z59" t="s">
        <v>379</v>
      </c>
      <c r="AA59">
        <v>0</v>
      </c>
      <c r="AB59" t="s">
        <v>63</v>
      </c>
      <c r="AC59" t="s">
        <v>66</v>
      </c>
      <c r="AD59" t="s">
        <v>119</v>
      </c>
      <c r="AE59">
        <v>0</v>
      </c>
      <c r="AF59" t="s">
        <v>378</v>
      </c>
      <c r="AG59">
        <v>0</v>
      </c>
      <c r="AH59" t="s">
        <v>152</v>
      </c>
      <c r="AI59" t="s">
        <v>188</v>
      </c>
      <c r="AJ59" t="s">
        <v>63</v>
      </c>
      <c r="AK59" t="s">
        <v>88</v>
      </c>
    </row>
    <row r="60" spans="1:37" x14ac:dyDescent="0.25">
      <c r="A60" t="s">
        <v>491</v>
      </c>
      <c r="B60" t="str">
        <f t="shared" si="0"/>
        <v>2015</v>
      </c>
      <c r="C60" t="str">
        <f t="shared" si="1"/>
        <v>02</v>
      </c>
      <c r="D60" t="s">
        <v>492</v>
      </c>
      <c r="E60" t="s">
        <v>493</v>
      </c>
      <c r="F60" t="s">
        <v>494</v>
      </c>
      <c r="G60" t="s">
        <v>171</v>
      </c>
      <c r="H60">
        <v>0</v>
      </c>
      <c r="I60" t="s">
        <v>495</v>
      </c>
      <c r="J60">
        <v>0</v>
      </c>
      <c r="K60" t="s">
        <v>496</v>
      </c>
      <c r="L60" t="s">
        <v>379</v>
      </c>
      <c r="M60" t="s">
        <v>497</v>
      </c>
      <c r="N60">
        <v>0</v>
      </c>
      <c r="O60" t="s">
        <v>498</v>
      </c>
      <c r="P60" t="s">
        <v>499</v>
      </c>
      <c r="Q60" t="s">
        <v>500</v>
      </c>
      <c r="R60" t="s">
        <v>329</v>
      </c>
      <c r="S60" t="s">
        <v>241</v>
      </c>
      <c r="T60">
        <v>0</v>
      </c>
      <c r="U60" t="s">
        <v>226</v>
      </c>
      <c r="V60" t="s">
        <v>119</v>
      </c>
      <c r="W60" t="s">
        <v>113</v>
      </c>
      <c r="X60">
        <v>0</v>
      </c>
      <c r="Y60">
        <v>0</v>
      </c>
      <c r="Z60" t="s">
        <v>242</v>
      </c>
      <c r="AA60">
        <v>0</v>
      </c>
      <c r="AB60" t="s">
        <v>63</v>
      </c>
      <c r="AC60" t="s">
        <v>91</v>
      </c>
      <c r="AD60" t="s">
        <v>64</v>
      </c>
      <c r="AE60">
        <v>0</v>
      </c>
      <c r="AF60" t="s">
        <v>106</v>
      </c>
      <c r="AG60">
        <v>0</v>
      </c>
      <c r="AH60" t="s">
        <v>119</v>
      </c>
      <c r="AI60" t="s">
        <v>216</v>
      </c>
      <c r="AJ60" t="s">
        <v>63</v>
      </c>
      <c r="AK60" t="s">
        <v>128</v>
      </c>
    </row>
    <row r="61" spans="1:37" x14ac:dyDescent="0.25">
      <c r="A61" t="s">
        <v>501</v>
      </c>
      <c r="B61" t="str">
        <f t="shared" si="0"/>
        <v>2015</v>
      </c>
      <c r="C61" t="str">
        <f t="shared" si="1"/>
        <v>03</v>
      </c>
      <c r="D61" t="s">
        <v>502</v>
      </c>
      <c r="E61" t="s">
        <v>503</v>
      </c>
      <c r="F61" t="s">
        <v>504</v>
      </c>
      <c r="G61" t="s">
        <v>120</v>
      </c>
      <c r="H61">
        <v>0</v>
      </c>
      <c r="I61" t="s">
        <v>505</v>
      </c>
      <c r="J61">
        <v>0</v>
      </c>
      <c r="K61" t="s">
        <v>506</v>
      </c>
      <c r="L61" t="s">
        <v>507</v>
      </c>
      <c r="M61" t="s">
        <v>151</v>
      </c>
      <c r="N61">
        <v>0</v>
      </c>
      <c r="O61" t="s">
        <v>508</v>
      </c>
      <c r="P61" t="s">
        <v>245</v>
      </c>
      <c r="Q61" t="s">
        <v>89</v>
      </c>
      <c r="R61" t="s">
        <v>323</v>
      </c>
      <c r="S61" t="s">
        <v>488</v>
      </c>
      <c r="T61">
        <v>0</v>
      </c>
      <c r="U61" t="s">
        <v>248</v>
      </c>
      <c r="V61" t="s">
        <v>119</v>
      </c>
      <c r="W61" t="s">
        <v>113</v>
      </c>
      <c r="X61">
        <v>0</v>
      </c>
      <c r="Y61">
        <v>0</v>
      </c>
      <c r="Z61" t="s">
        <v>193</v>
      </c>
      <c r="AA61">
        <v>0</v>
      </c>
      <c r="AB61" t="s">
        <v>63</v>
      </c>
      <c r="AC61" t="s">
        <v>73</v>
      </c>
      <c r="AD61" t="s">
        <v>104</v>
      </c>
      <c r="AE61">
        <v>0</v>
      </c>
      <c r="AF61" t="s">
        <v>378</v>
      </c>
      <c r="AG61">
        <v>0</v>
      </c>
      <c r="AH61" t="s">
        <v>41</v>
      </c>
      <c r="AI61" t="s">
        <v>113</v>
      </c>
      <c r="AJ61" t="s">
        <v>63</v>
      </c>
      <c r="AK61" t="s">
        <v>88</v>
      </c>
    </row>
    <row r="62" spans="1:37" x14ac:dyDescent="0.25">
      <c r="A62" t="s">
        <v>509</v>
      </c>
      <c r="B62" t="str">
        <f t="shared" si="0"/>
        <v>2015</v>
      </c>
      <c r="C62" t="str">
        <f t="shared" si="1"/>
        <v>04</v>
      </c>
      <c r="D62" t="s">
        <v>510</v>
      </c>
      <c r="E62" t="s">
        <v>511</v>
      </c>
      <c r="F62" t="s">
        <v>512</v>
      </c>
      <c r="G62" t="s">
        <v>104</v>
      </c>
      <c r="H62">
        <v>0</v>
      </c>
      <c r="I62" t="s">
        <v>513</v>
      </c>
      <c r="J62">
        <v>0</v>
      </c>
      <c r="K62" t="s">
        <v>514</v>
      </c>
      <c r="L62" t="s">
        <v>507</v>
      </c>
      <c r="M62" t="s">
        <v>515</v>
      </c>
      <c r="N62">
        <v>0</v>
      </c>
      <c r="O62" t="s">
        <v>74</v>
      </c>
      <c r="P62" t="s">
        <v>504</v>
      </c>
      <c r="Q62" t="s">
        <v>516</v>
      </c>
      <c r="R62" t="s">
        <v>392</v>
      </c>
      <c r="S62" t="s">
        <v>517</v>
      </c>
      <c r="T62">
        <v>0</v>
      </c>
      <c r="U62" t="s">
        <v>177</v>
      </c>
      <c r="V62" t="s">
        <v>119</v>
      </c>
      <c r="W62" t="s">
        <v>63</v>
      </c>
      <c r="X62">
        <v>0</v>
      </c>
      <c r="Y62">
        <v>0</v>
      </c>
      <c r="Z62" t="s">
        <v>207</v>
      </c>
      <c r="AA62">
        <v>0</v>
      </c>
      <c r="AB62" t="s">
        <v>63</v>
      </c>
      <c r="AC62" t="s">
        <v>107</v>
      </c>
      <c r="AD62" t="s">
        <v>104</v>
      </c>
      <c r="AE62">
        <v>0</v>
      </c>
      <c r="AF62" t="s">
        <v>134</v>
      </c>
      <c r="AG62">
        <v>0</v>
      </c>
      <c r="AH62" t="s">
        <v>120</v>
      </c>
      <c r="AI62" t="s">
        <v>52</v>
      </c>
      <c r="AJ62" t="s">
        <v>63</v>
      </c>
      <c r="AK62" t="s">
        <v>128</v>
      </c>
    </row>
    <row r="63" spans="1:37" x14ac:dyDescent="0.25">
      <c r="A63" t="s">
        <v>518</v>
      </c>
      <c r="B63" t="str">
        <f t="shared" si="0"/>
        <v>2015</v>
      </c>
      <c r="C63" t="str">
        <f t="shared" si="1"/>
        <v>05</v>
      </c>
      <c r="D63" t="s">
        <v>519</v>
      </c>
      <c r="E63" t="s">
        <v>520</v>
      </c>
      <c r="F63" t="s">
        <v>521</v>
      </c>
      <c r="G63" t="s">
        <v>104</v>
      </c>
      <c r="H63">
        <v>0</v>
      </c>
      <c r="I63" t="s">
        <v>522</v>
      </c>
      <c r="J63">
        <v>0</v>
      </c>
      <c r="K63" t="s">
        <v>523</v>
      </c>
      <c r="L63" t="s">
        <v>44</v>
      </c>
      <c r="M63" t="s">
        <v>524</v>
      </c>
      <c r="N63">
        <v>0</v>
      </c>
      <c r="O63" t="s">
        <v>525</v>
      </c>
      <c r="P63" t="s">
        <v>489</v>
      </c>
      <c r="Q63" t="s">
        <v>526</v>
      </c>
      <c r="R63" t="s">
        <v>164</v>
      </c>
      <c r="S63" t="s">
        <v>240</v>
      </c>
      <c r="T63">
        <v>0</v>
      </c>
      <c r="U63" t="s">
        <v>443</v>
      </c>
      <c r="V63" t="s">
        <v>171</v>
      </c>
      <c r="W63" t="s">
        <v>63</v>
      </c>
      <c r="X63">
        <v>0</v>
      </c>
      <c r="Y63">
        <v>0</v>
      </c>
      <c r="Z63" t="s">
        <v>207</v>
      </c>
      <c r="AA63">
        <v>0</v>
      </c>
      <c r="AB63" t="s">
        <v>113</v>
      </c>
      <c r="AC63" t="s">
        <v>128</v>
      </c>
      <c r="AD63" t="s">
        <v>104</v>
      </c>
      <c r="AE63">
        <v>0</v>
      </c>
      <c r="AF63" t="s">
        <v>106</v>
      </c>
      <c r="AG63">
        <v>0</v>
      </c>
      <c r="AH63" t="s">
        <v>171</v>
      </c>
      <c r="AI63" t="s">
        <v>113</v>
      </c>
      <c r="AJ63" t="s">
        <v>63</v>
      </c>
      <c r="AK63" t="s">
        <v>88</v>
      </c>
    </row>
    <row r="64" spans="1:37" x14ac:dyDescent="0.25">
      <c r="A64" t="s">
        <v>527</v>
      </c>
      <c r="B64" t="str">
        <f t="shared" si="0"/>
        <v>2015</v>
      </c>
      <c r="C64" t="str">
        <f t="shared" si="1"/>
        <v>06</v>
      </c>
      <c r="D64" t="s">
        <v>528</v>
      </c>
      <c r="E64" t="s">
        <v>529</v>
      </c>
      <c r="F64" t="s">
        <v>530</v>
      </c>
      <c r="G64" t="s">
        <v>64</v>
      </c>
      <c r="H64">
        <v>0</v>
      </c>
      <c r="I64" t="s">
        <v>531</v>
      </c>
      <c r="J64">
        <v>0</v>
      </c>
      <c r="K64" t="s">
        <v>532</v>
      </c>
      <c r="L64" t="s">
        <v>193</v>
      </c>
      <c r="M64" t="s">
        <v>37</v>
      </c>
      <c r="N64">
        <v>0</v>
      </c>
      <c r="O64" t="s">
        <v>114</v>
      </c>
      <c r="P64" t="s">
        <v>74</v>
      </c>
      <c r="Q64" t="s">
        <v>114</v>
      </c>
      <c r="R64" t="s">
        <v>323</v>
      </c>
      <c r="S64" t="s">
        <v>378</v>
      </c>
      <c r="T64">
        <v>0</v>
      </c>
      <c r="U64" t="s">
        <v>533</v>
      </c>
      <c r="V64" t="s">
        <v>119</v>
      </c>
      <c r="W64" t="s">
        <v>63</v>
      </c>
      <c r="X64">
        <v>0</v>
      </c>
      <c r="Y64">
        <v>0</v>
      </c>
      <c r="Z64" t="s">
        <v>353</v>
      </c>
      <c r="AA64">
        <v>0</v>
      </c>
      <c r="AB64" t="s">
        <v>63</v>
      </c>
      <c r="AC64" t="s">
        <v>88</v>
      </c>
      <c r="AD64" t="s">
        <v>88</v>
      </c>
      <c r="AE64">
        <v>0</v>
      </c>
      <c r="AF64" t="s">
        <v>378</v>
      </c>
      <c r="AG64">
        <v>0</v>
      </c>
      <c r="AH64" t="s">
        <v>119</v>
      </c>
      <c r="AI64" t="s">
        <v>119</v>
      </c>
      <c r="AJ64" t="s">
        <v>63</v>
      </c>
      <c r="AK64" t="s">
        <v>88</v>
      </c>
    </row>
    <row r="65" spans="1:37" x14ac:dyDescent="0.25">
      <c r="A65" t="s">
        <v>534</v>
      </c>
      <c r="B65" t="str">
        <f t="shared" si="0"/>
        <v>2015</v>
      </c>
      <c r="C65" t="str">
        <f t="shared" si="1"/>
        <v>07</v>
      </c>
      <c r="D65" t="s">
        <v>535</v>
      </c>
      <c r="E65" t="s">
        <v>536</v>
      </c>
      <c r="F65" t="s">
        <v>537</v>
      </c>
      <c r="G65" t="s">
        <v>41</v>
      </c>
      <c r="H65">
        <v>0</v>
      </c>
      <c r="I65" t="s">
        <v>531</v>
      </c>
      <c r="J65">
        <v>0</v>
      </c>
      <c r="K65" t="s">
        <v>538</v>
      </c>
      <c r="L65" t="s">
        <v>193</v>
      </c>
      <c r="M65" t="s">
        <v>89</v>
      </c>
      <c r="N65">
        <v>0</v>
      </c>
      <c r="O65" t="s">
        <v>140</v>
      </c>
      <c r="P65" t="s">
        <v>350</v>
      </c>
      <c r="Q65" t="s">
        <v>539</v>
      </c>
      <c r="R65" t="s">
        <v>351</v>
      </c>
      <c r="S65" t="s">
        <v>241</v>
      </c>
      <c r="T65">
        <v>0</v>
      </c>
      <c r="U65" t="s">
        <v>242</v>
      </c>
      <c r="V65" t="s">
        <v>171</v>
      </c>
      <c r="W65" t="s">
        <v>63</v>
      </c>
      <c r="X65">
        <v>0</v>
      </c>
      <c r="Y65">
        <v>0</v>
      </c>
      <c r="Z65" t="s">
        <v>241</v>
      </c>
      <c r="AA65">
        <v>0</v>
      </c>
      <c r="AB65" t="s">
        <v>63</v>
      </c>
      <c r="AC65" t="s">
        <v>73</v>
      </c>
      <c r="AD65" t="s">
        <v>73</v>
      </c>
      <c r="AE65">
        <v>0</v>
      </c>
      <c r="AF65" t="s">
        <v>106</v>
      </c>
      <c r="AG65">
        <v>0</v>
      </c>
      <c r="AH65" t="s">
        <v>171</v>
      </c>
      <c r="AI65" t="s">
        <v>216</v>
      </c>
      <c r="AJ65" t="s">
        <v>63</v>
      </c>
      <c r="AK65" t="s">
        <v>104</v>
      </c>
    </row>
    <row r="66" spans="1:37" x14ac:dyDescent="0.25">
      <c r="A66" t="s">
        <v>540</v>
      </c>
      <c r="B66" t="str">
        <f t="shared" si="0"/>
        <v>2015</v>
      </c>
      <c r="C66" t="str">
        <f t="shared" si="1"/>
        <v>08</v>
      </c>
      <c r="D66" t="s">
        <v>541</v>
      </c>
      <c r="E66" t="s">
        <v>542</v>
      </c>
      <c r="F66" t="s">
        <v>543</v>
      </c>
      <c r="G66" t="s">
        <v>64</v>
      </c>
      <c r="H66">
        <v>0</v>
      </c>
      <c r="I66" t="s">
        <v>544</v>
      </c>
      <c r="J66">
        <v>0</v>
      </c>
      <c r="K66" t="s">
        <v>545</v>
      </c>
      <c r="L66" t="s">
        <v>195</v>
      </c>
      <c r="M66" t="s">
        <v>546</v>
      </c>
      <c r="N66">
        <v>0</v>
      </c>
      <c r="O66" t="s">
        <v>500</v>
      </c>
      <c r="P66" t="s">
        <v>547</v>
      </c>
      <c r="Q66" t="s">
        <v>516</v>
      </c>
      <c r="R66" t="s">
        <v>548</v>
      </c>
      <c r="S66" t="s">
        <v>53</v>
      </c>
      <c r="T66">
        <v>0</v>
      </c>
      <c r="U66" t="s">
        <v>242</v>
      </c>
      <c r="V66" t="s">
        <v>119</v>
      </c>
      <c r="W66" t="s">
        <v>113</v>
      </c>
      <c r="X66">
        <v>0</v>
      </c>
      <c r="Y66">
        <v>0</v>
      </c>
      <c r="Z66" t="s">
        <v>293</v>
      </c>
      <c r="AA66">
        <v>0</v>
      </c>
      <c r="AB66" t="s">
        <v>63</v>
      </c>
      <c r="AC66" t="s">
        <v>66</v>
      </c>
      <c r="AD66" t="s">
        <v>42</v>
      </c>
      <c r="AE66">
        <v>0</v>
      </c>
      <c r="AF66" t="s">
        <v>134</v>
      </c>
      <c r="AG66">
        <v>0</v>
      </c>
      <c r="AH66" t="s">
        <v>41</v>
      </c>
      <c r="AI66" t="s">
        <v>216</v>
      </c>
      <c r="AJ66" t="s">
        <v>113</v>
      </c>
      <c r="AK66" t="s">
        <v>73</v>
      </c>
    </row>
    <row r="67" spans="1:37" x14ac:dyDescent="0.25">
      <c r="A67" t="s">
        <v>549</v>
      </c>
      <c r="B67" t="str">
        <f t="shared" ref="B67:B130" si="2">LEFT(A67,4)</f>
        <v>2015</v>
      </c>
      <c r="C67" t="str">
        <f t="shared" ref="C67:C130" si="3">RIGHT(A67,2)</f>
        <v>09</v>
      </c>
      <c r="D67" t="s">
        <v>550</v>
      </c>
      <c r="E67" t="s">
        <v>551</v>
      </c>
      <c r="F67" t="s">
        <v>552</v>
      </c>
      <c r="G67" t="s">
        <v>107</v>
      </c>
      <c r="H67">
        <v>0</v>
      </c>
      <c r="I67" t="s">
        <v>553</v>
      </c>
      <c r="J67">
        <v>0</v>
      </c>
      <c r="K67" t="s">
        <v>554</v>
      </c>
      <c r="L67" t="s">
        <v>533</v>
      </c>
      <c r="M67" t="s">
        <v>555</v>
      </c>
      <c r="N67">
        <v>0</v>
      </c>
      <c r="O67" t="s">
        <v>556</v>
      </c>
      <c r="P67" t="s">
        <v>557</v>
      </c>
      <c r="Q67" t="s">
        <v>498</v>
      </c>
      <c r="R67" t="s">
        <v>525</v>
      </c>
      <c r="S67" t="s">
        <v>378</v>
      </c>
      <c r="T67">
        <v>0</v>
      </c>
      <c r="U67" t="s">
        <v>477</v>
      </c>
      <c r="V67" t="s">
        <v>41</v>
      </c>
      <c r="W67" t="s">
        <v>113</v>
      </c>
      <c r="X67">
        <v>0</v>
      </c>
      <c r="Y67">
        <v>0</v>
      </c>
      <c r="Z67" t="s">
        <v>300</v>
      </c>
      <c r="AA67">
        <v>0</v>
      </c>
      <c r="AB67" t="s">
        <v>63</v>
      </c>
      <c r="AC67" t="s">
        <v>73</v>
      </c>
      <c r="AD67" t="s">
        <v>126</v>
      </c>
      <c r="AE67">
        <v>0</v>
      </c>
      <c r="AF67" t="s">
        <v>66</v>
      </c>
      <c r="AG67">
        <v>0</v>
      </c>
      <c r="AH67" t="s">
        <v>120</v>
      </c>
      <c r="AI67" t="s">
        <v>188</v>
      </c>
      <c r="AJ67" t="s">
        <v>52</v>
      </c>
      <c r="AK67" t="s">
        <v>88</v>
      </c>
    </row>
    <row r="68" spans="1:37" x14ac:dyDescent="0.25">
      <c r="A68" t="s">
        <v>558</v>
      </c>
      <c r="B68" t="str">
        <f t="shared" si="2"/>
        <v>2015</v>
      </c>
      <c r="C68" t="str">
        <f t="shared" si="3"/>
        <v>10</v>
      </c>
      <c r="D68" t="s">
        <v>559</v>
      </c>
      <c r="E68" t="s">
        <v>446</v>
      </c>
      <c r="F68" t="s">
        <v>560</v>
      </c>
      <c r="G68" t="s">
        <v>378</v>
      </c>
      <c r="H68">
        <v>0</v>
      </c>
      <c r="I68" t="s">
        <v>561</v>
      </c>
      <c r="J68">
        <v>0</v>
      </c>
      <c r="K68" t="s">
        <v>562</v>
      </c>
      <c r="L68" t="s">
        <v>452</v>
      </c>
      <c r="M68" t="s">
        <v>416</v>
      </c>
      <c r="N68">
        <v>0</v>
      </c>
      <c r="O68" t="s">
        <v>409</v>
      </c>
      <c r="P68" t="s">
        <v>169</v>
      </c>
      <c r="Q68" t="s">
        <v>425</v>
      </c>
      <c r="R68" t="s">
        <v>105</v>
      </c>
      <c r="S68" t="s">
        <v>91</v>
      </c>
      <c r="T68">
        <v>0</v>
      </c>
      <c r="U68" t="s">
        <v>217</v>
      </c>
      <c r="V68" t="s">
        <v>119</v>
      </c>
      <c r="W68" t="s">
        <v>113</v>
      </c>
      <c r="X68">
        <v>0</v>
      </c>
      <c r="Y68">
        <v>0</v>
      </c>
      <c r="Z68" t="s">
        <v>316</v>
      </c>
      <c r="AA68">
        <v>0</v>
      </c>
      <c r="AB68" t="s">
        <v>63</v>
      </c>
      <c r="AC68" t="s">
        <v>64</v>
      </c>
      <c r="AD68" t="s">
        <v>126</v>
      </c>
      <c r="AE68">
        <v>0</v>
      </c>
      <c r="AF68" t="s">
        <v>107</v>
      </c>
      <c r="AG68">
        <v>0</v>
      </c>
      <c r="AH68" t="s">
        <v>64</v>
      </c>
      <c r="AI68" t="s">
        <v>52</v>
      </c>
      <c r="AJ68" t="s">
        <v>113</v>
      </c>
      <c r="AK68" t="s">
        <v>128</v>
      </c>
    </row>
    <row r="69" spans="1:37" x14ac:dyDescent="0.25">
      <c r="A69" t="s">
        <v>563</v>
      </c>
      <c r="B69" t="str">
        <f t="shared" si="2"/>
        <v>2015</v>
      </c>
      <c r="C69" t="str">
        <f t="shared" si="3"/>
        <v>11</v>
      </c>
      <c r="D69" t="s">
        <v>564</v>
      </c>
      <c r="E69" t="s">
        <v>545</v>
      </c>
      <c r="F69" t="s">
        <v>416</v>
      </c>
      <c r="G69" t="s">
        <v>51</v>
      </c>
      <c r="H69">
        <v>0</v>
      </c>
      <c r="I69" t="s">
        <v>565</v>
      </c>
      <c r="J69">
        <v>0</v>
      </c>
      <c r="K69" t="s">
        <v>566</v>
      </c>
      <c r="L69" t="s">
        <v>226</v>
      </c>
      <c r="M69" t="s">
        <v>524</v>
      </c>
      <c r="N69">
        <v>0</v>
      </c>
      <c r="O69" t="s">
        <v>567</v>
      </c>
      <c r="P69" t="s">
        <v>568</v>
      </c>
      <c r="Q69" t="s">
        <v>569</v>
      </c>
      <c r="R69" t="s">
        <v>178</v>
      </c>
      <c r="S69" t="s">
        <v>378</v>
      </c>
      <c r="T69">
        <v>0</v>
      </c>
      <c r="U69" t="s">
        <v>452</v>
      </c>
      <c r="V69" t="s">
        <v>41</v>
      </c>
      <c r="W69" t="s">
        <v>113</v>
      </c>
      <c r="X69">
        <v>0</v>
      </c>
      <c r="Y69">
        <v>0</v>
      </c>
      <c r="Z69" t="s">
        <v>316</v>
      </c>
      <c r="AA69">
        <v>0</v>
      </c>
      <c r="AB69" t="s">
        <v>113</v>
      </c>
      <c r="AC69" t="s">
        <v>41</v>
      </c>
      <c r="AD69" t="s">
        <v>76</v>
      </c>
      <c r="AE69">
        <v>0</v>
      </c>
      <c r="AF69" t="s">
        <v>88</v>
      </c>
      <c r="AG69">
        <v>0</v>
      </c>
      <c r="AH69" t="s">
        <v>64</v>
      </c>
      <c r="AI69" t="s">
        <v>216</v>
      </c>
      <c r="AJ69" t="s">
        <v>113</v>
      </c>
      <c r="AK69" t="s">
        <v>73</v>
      </c>
    </row>
    <row r="70" spans="1:37" x14ac:dyDescent="0.25">
      <c r="A70" t="s">
        <v>570</v>
      </c>
      <c r="B70" t="str">
        <f t="shared" si="2"/>
        <v>2015</v>
      </c>
      <c r="C70" t="str">
        <f t="shared" si="3"/>
        <v>12</v>
      </c>
      <c r="D70" t="s">
        <v>571</v>
      </c>
      <c r="E70" t="s">
        <v>413</v>
      </c>
      <c r="F70" t="s">
        <v>572</v>
      </c>
      <c r="G70" t="s">
        <v>76</v>
      </c>
      <c r="H70">
        <v>0</v>
      </c>
      <c r="I70" t="s">
        <v>573</v>
      </c>
      <c r="J70">
        <v>0</v>
      </c>
      <c r="K70" t="s">
        <v>574</v>
      </c>
      <c r="L70" t="s">
        <v>432</v>
      </c>
      <c r="M70" t="s">
        <v>575</v>
      </c>
      <c r="N70">
        <v>0</v>
      </c>
      <c r="O70" t="s">
        <v>525</v>
      </c>
      <c r="P70" t="s">
        <v>576</v>
      </c>
      <c r="Q70" t="s">
        <v>489</v>
      </c>
      <c r="R70" t="s">
        <v>577</v>
      </c>
      <c r="S70" t="s">
        <v>293</v>
      </c>
      <c r="T70">
        <v>0</v>
      </c>
      <c r="U70" t="s">
        <v>578</v>
      </c>
      <c r="V70" t="s">
        <v>88</v>
      </c>
      <c r="W70" t="s">
        <v>113</v>
      </c>
      <c r="X70">
        <v>0</v>
      </c>
      <c r="Y70">
        <v>0</v>
      </c>
      <c r="Z70" t="s">
        <v>316</v>
      </c>
      <c r="AA70">
        <v>0</v>
      </c>
      <c r="AB70" t="s">
        <v>52</v>
      </c>
      <c r="AC70" t="s">
        <v>64</v>
      </c>
      <c r="AD70" t="s">
        <v>51</v>
      </c>
      <c r="AE70">
        <v>0</v>
      </c>
      <c r="AF70" t="s">
        <v>73</v>
      </c>
      <c r="AG70">
        <v>0</v>
      </c>
      <c r="AH70" t="s">
        <v>64</v>
      </c>
      <c r="AI70" t="s">
        <v>52</v>
      </c>
      <c r="AJ70" t="s">
        <v>52</v>
      </c>
      <c r="AK70" t="s">
        <v>53</v>
      </c>
    </row>
    <row r="71" spans="1:37" x14ac:dyDescent="0.25">
      <c r="A71" t="s">
        <v>579</v>
      </c>
      <c r="B71" t="str">
        <f t="shared" si="2"/>
        <v>2016</v>
      </c>
      <c r="C71" t="str">
        <f t="shared" si="3"/>
        <v>01</v>
      </c>
      <c r="D71" t="s">
        <v>580</v>
      </c>
      <c r="E71" t="s">
        <v>581</v>
      </c>
      <c r="F71" t="s">
        <v>582</v>
      </c>
      <c r="G71" t="s">
        <v>353</v>
      </c>
      <c r="H71">
        <v>0</v>
      </c>
      <c r="I71" t="s">
        <v>583</v>
      </c>
      <c r="J71">
        <v>0</v>
      </c>
      <c r="K71" t="s">
        <v>584</v>
      </c>
      <c r="L71" t="s">
        <v>385</v>
      </c>
      <c r="M71" t="s">
        <v>585</v>
      </c>
      <c r="N71">
        <v>0</v>
      </c>
      <c r="O71" t="s">
        <v>586</v>
      </c>
      <c r="P71" t="s">
        <v>587</v>
      </c>
      <c r="Q71" t="s">
        <v>480</v>
      </c>
      <c r="R71" t="s">
        <v>588</v>
      </c>
      <c r="S71" t="s">
        <v>76</v>
      </c>
      <c r="T71">
        <v>0</v>
      </c>
      <c r="U71" t="s">
        <v>589</v>
      </c>
      <c r="V71" t="s">
        <v>73</v>
      </c>
      <c r="W71" t="s">
        <v>52</v>
      </c>
      <c r="X71">
        <v>0</v>
      </c>
      <c r="Y71">
        <v>0</v>
      </c>
      <c r="Z71" t="s">
        <v>207</v>
      </c>
      <c r="AA71">
        <v>0</v>
      </c>
      <c r="AB71" t="s">
        <v>113</v>
      </c>
      <c r="AC71" t="s">
        <v>41</v>
      </c>
      <c r="AD71" t="s">
        <v>40</v>
      </c>
      <c r="AE71">
        <v>0</v>
      </c>
      <c r="AF71" t="s">
        <v>88</v>
      </c>
      <c r="AG71">
        <v>0</v>
      </c>
      <c r="AH71" t="s">
        <v>64</v>
      </c>
      <c r="AI71" t="s">
        <v>52</v>
      </c>
      <c r="AJ71" t="s">
        <v>52</v>
      </c>
      <c r="AK71" t="s">
        <v>106</v>
      </c>
    </row>
    <row r="72" spans="1:37" x14ac:dyDescent="0.25">
      <c r="A72" t="s">
        <v>590</v>
      </c>
      <c r="B72" t="str">
        <f t="shared" si="2"/>
        <v>2016</v>
      </c>
      <c r="C72" t="str">
        <f t="shared" si="3"/>
        <v>02</v>
      </c>
      <c r="D72" t="s">
        <v>591</v>
      </c>
      <c r="E72" t="s">
        <v>592</v>
      </c>
      <c r="F72" t="s">
        <v>593</v>
      </c>
      <c r="G72" t="s">
        <v>507</v>
      </c>
      <c r="H72">
        <v>0</v>
      </c>
      <c r="I72" t="s">
        <v>594</v>
      </c>
      <c r="J72">
        <v>0</v>
      </c>
      <c r="K72" t="s">
        <v>595</v>
      </c>
      <c r="L72" t="s">
        <v>596</v>
      </c>
      <c r="M72" t="s">
        <v>597</v>
      </c>
      <c r="N72">
        <v>0</v>
      </c>
      <c r="O72" t="s">
        <v>586</v>
      </c>
      <c r="P72" t="s">
        <v>468</v>
      </c>
      <c r="Q72" t="s">
        <v>470</v>
      </c>
      <c r="R72" t="s">
        <v>480</v>
      </c>
      <c r="S72" t="s">
        <v>76</v>
      </c>
      <c r="T72">
        <v>0</v>
      </c>
      <c r="U72" t="s">
        <v>248</v>
      </c>
      <c r="V72" t="s">
        <v>88</v>
      </c>
      <c r="W72" t="s">
        <v>52</v>
      </c>
      <c r="X72">
        <v>0</v>
      </c>
      <c r="Y72">
        <v>0</v>
      </c>
      <c r="Z72" t="s">
        <v>353</v>
      </c>
      <c r="AA72">
        <v>0</v>
      </c>
      <c r="AB72" t="s">
        <v>113</v>
      </c>
      <c r="AC72" t="s">
        <v>120</v>
      </c>
      <c r="AD72" t="s">
        <v>241</v>
      </c>
      <c r="AE72">
        <v>0</v>
      </c>
      <c r="AF72" t="s">
        <v>73</v>
      </c>
      <c r="AG72">
        <v>0</v>
      </c>
      <c r="AH72" t="s">
        <v>41</v>
      </c>
      <c r="AI72" t="s">
        <v>188</v>
      </c>
      <c r="AJ72" t="s">
        <v>188</v>
      </c>
      <c r="AK72" t="s">
        <v>66</v>
      </c>
    </row>
    <row r="73" spans="1:37" x14ac:dyDescent="0.25">
      <c r="A73" t="s">
        <v>598</v>
      </c>
      <c r="B73" t="str">
        <f t="shared" si="2"/>
        <v>2016</v>
      </c>
      <c r="C73" t="str">
        <f t="shared" si="3"/>
        <v>03</v>
      </c>
      <c r="D73" t="s">
        <v>599</v>
      </c>
      <c r="E73" t="s">
        <v>600</v>
      </c>
      <c r="F73" t="s">
        <v>568</v>
      </c>
      <c r="G73" t="s">
        <v>97</v>
      </c>
      <c r="H73">
        <v>0</v>
      </c>
      <c r="I73" t="s">
        <v>601</v>
      </c>
      <c r="J73">
        <v>0</v>
      </c>
      <c r="K73" t="s">
        <v>602</v>
      </c>
      <c r="L73" t="s">
        <v>208</v>
      </c>
      <c r="M73" t="s">
        <v>603</v>
      </c>
      <c r="N73">
        <v>0</v>
      </c>
      <c r="O73" t="s">
        <v>604</v>
      </c>
      <c r="P73" t="s">
        <v>605</v>
      </c>
      <c r="Q73" t="s">
        <v>176</v>
      </c>
      <c r="R73" t="s">
        <v>426</v>
      </c>
      <c r="S73" t="s">
        <v>66</v>
      </c>
      <c r="T73">
        <v>0</v>
      </c>
      <c r="U73" t="s">
        <v>606</v>
      </c>
      <c r="V73" t="s">
        <v>91</v>
      </c>
      <c r="W73" t="s">
        <v>113</v>
      </c>
      <c r="X73">
        <v>0</v>
      </c>
      <c r="Y73">
        <v>0</v>
      </c>
      <c r="Z73" t="s">
        <v>72</v>
      </c>
      <c r="AA73">
        <v>0</v>
      </c>
      <c r="AB73" t="s">
        <v>63</v>
      </c>
      <c r="AC73" t="s">
        <v>171</v>
      </c>
      <c r="AD73" t="s">
        <v>76</v>
      </c>
      <c r="AE73">
        <v>0</v>
      </c>
      <c r="AF73" t="s">
        <v>64</v>
      </c>
      <c r="AG73">
        <v>0</v>
      </c>
      <c r="AH73" t="s">
        <v>119</v>
      </c>
      <c r="AI73" t="s">
        <v>52</v>
      </c>
      <c r="AJ73" t="s">
        <v>52</v>
      </c>
      <c r="AK73" t="s">
        <v>128</v>
      </c>
    </row>
    <row r="74" spans="1:37" x14ac:dyDescent="0.25">
      <c r="A74" t="s">
        <v>607</v>
      </c>
      <c r="B74" t="str">
        <f t="shared" si="2"/>
        <v>2016</v>
      </c>
      <c r="C74" t="str">
        <f t="shared" si="3"/>
        <v>04</v>
      </c>
      <c r="D74" t="s">
        <v>608</v>
      </c>
      <c r="E74" t="s">
        <v>609</v>
      </c>
      <c r="F74" t="s">
        <v>245</v>
      </c>
      <c r="G74" t="s">
        <v>300</v>
      </c>
      <c r="H74">
        <v>0</v>
      </c>
      <c r="I74" t="s">
        <v>610</v>
      </c>
      <c r="J74">
        <v>0</v>
      </c>
      <c r="K74" t="s">
        <v>289</v>
      </c>
      <c r="L74" t="s">
        <v>611</v>
      </c>
      <c r="M74" t="s">
        <v>39</v>
      </c>
      <c r="N74">
        <v>0</v>
      </c>
      <c r="O74" t="s">
        <v>425</v>
      </c>
      <c r="P74" t="s">
        <v>468</v>
      </c>
      <c r="Q74" t="s">
        <v>515</v>
      </c>
      <c r="R74" t="s">
        <v>65</v>
      </c>
      <c r="S74" t="s">
        <v>66</v>
      </c>
      <c r="T74">
        <v>0</v>
      </c>
      <c r="U74" t="s">
        <v>612</v>
      </c>
      <c r="V74" t="s">
        <v>91</v>
      </c>
      <c r="W74" t="s">
        <v>113</v>
      </c>
      <c r="X74">
        <v>0</v>
      </c>
      <c r="Y74">
        <v>0</v>
      </c>
      <c r="Z74" t="s">
        <v>353</v>
      </c>
      <c r="AA74">
        <v>0</v>
      </c>
      <c r="AB74" t="s">
        <v>63</v>
      </c>
      <c r="AC74" t="s">
        <v>119</v>
      </c>
      <c r="AD74" t="s">
        <v>75</v>
      </c>
      <c r="AE74">
        <v>0</v>
      </c>
      <c r="AF74" t="s">
        <v>104</v>
      </c>
      <c r="AG74">
        <v>0</v>
      </c>
      <c r="AH74" t="s">
        <v>216</v>
      </c>
      <c r="AI74" t="s">
        <v>52</v>
      </c>
      <c r="AJ74" t="s">
        <v>52</v>
      </c>
      <c r="AK74" t="s">
        <v>88</v>
      </c>
    </row>
    <row r="75" spans="1:37" x14ac:dyDescent="0.25">
      <c r="A75" t="s">
        <v>613</v>
      </c>
      <c r="B75" t="str">
        <f t="shared" si="2"/>
        <v>2016</v>
      </c>
      <c r="C75" t="str">
        <f t="shared" si="3"/>
        <v>05</v>
      </c>
      <c r="D75" t="s">
        <v>614</v>
      </c>
      <c r="E75" t="s">
        <v>615</v>
      </c>
      <c r="F75" t="s">
        <v>616</v>
      </c>
      <c r="G75" t="s">
        <v>72</v>
      </c>
      <c r="H75">
        <v>0</v>
      </c>
      <c r="I75" t="s">
        <v>284</v>
      </c>
      <c r="J75">
        <v>0</v>
      </c>
      <c r="K75" t="s">
        <v>617</v>
      </c>
      <c r="L75" t="s">
        <v>215</v>
      </c>
      <c r="M75" t="s">
        <v>131</v>
      </c>
      <c r="N75">
        <v>0</v>
      </c>
      <c r="O75" t="s">
        <v>618</v>
      </c>
      <c r="P75" t="s">
        <v>512</v>
      </c>
      <c r="Q75" t="s">
        <v>555</v>
      </c>
      <c r="R75" t="s">
        <v>65</v>
      </c>
      <c r="S75" t="s">
        <v>134</v>
      </c>
      <c r="T75">
        <v>0</v>
      </c>
      <c r="U75" t="s">
        <v>194</v>
      </c>
      <c r="V75" t="s">
        <v>152</v>
      </c>
      <c r="W75" t="s">
        <v>113</v>
      </c>
      <c r="X75">
        <v>0</v>
      </c>
      <c r="Y75">
        <v>0</v>
      </c>
      <c r="Z75" t="s">
        <v>241</v>
      </c>
      <c r="AA75">
        <v>0</v>
      </c>
      <c r="AB75" t="s">
        <v>63</v>
      </c>
      <c r="AC75" t="s">
        <v>119</v>
      </c>
      <c r="AD75" t="s">
        <v>103</v>
      </c>
      <c r="AE75">
        <v>0</v>
      </c>
      <c r="AF75" t="s">
        <v>104</v>
      </c>
      <c r="AG75">
        <v>0</v>
      </c>
      <c r="AH75" t="s">
        <v>216</v>
      </c>
      <c r="AI75" t="s">
        <v>113</v>
      </c>
      <c r="AJ75" t="s">
        <v>52</v>
      </c>
      <c r="AK75" t="s">
        <v>128</v>
      </c>
    </row>
    <row r="76" spans="1:37" x14ac:dyDescent="0.25">
      <c r="A76" t="s">
        <v>619</v>
      </c>
      <c r="B76" t="str">
        <f t="shared" si="2"/>
        <v>2016</v>
      </c>
      <c r="C76" t="str">
        <f t="shared" si="3"/>
        <v>06</v>
      </c>
      <c r="D76" t="s">
        <v>620</v>
      </c>
      <c r="E76" t="s">
        <v>621</v>
      </c>
      <c r="F76" t="s">
        <v>622</v>
      </c>
      <c r="G76" t="s">
        <v>62</v>
      </c>
      <c r="H76">
        <v>0</v>
      </c>
      <c r="I76" t="s">
        <v>623</v>
      </c>
      <c r="J76">
        <v>0</v>
      </c>
      <c r="K76" t="s">
        <v>624</v>
      </c>
      <c r="L76" t="s">
        <v>215</v>
      </c>
      <c r="M76" t="s">
        <v>625</v>
      </c>
      <c r="N76">
        <v>0</v>
      </c>
      <c r="O76" t="s">
        <v>622</v>
      </c>
      <c r="P76" t="s">
        <v>524</v>
      </c>
      <c r="Q76" t="s">
        <v>524</v>
      </c>
      <c r="R76" t="s">
        <v>626</v>
      </c>
      <c r="S76" t="s">
        <v>316</v>
      </c>
      <c r="T76">
        <v>0</v>
      </c>
      <c r="U76" t="s">
        <v>627</v>
      </c>
      <c r="V76" t="s">
        <v>91</v>
      </c>
      <c r="W76" t="s">
        <v>113</v>
      </c>
      <c r="X76">
        <v>0</v>
      </c>
      <c r="Y76">
        <v>0</v>
      </c>
      <c r="Z76" t="s">
        <v>75</v>
      </c>
      <c r="AA76">
        <v>0</v>
      </c>
      <c r="AB76" t="s">
        <v>63</v>
      </c>
      <c r="AC76" t="s">
        <v>171</v>
      </c>
      <c r="AD76" t="s">
        <v>51</v>
      </c>
      <c r="AE76">
        <v>0</v>
      </c>
      <c r="AF76" t="s">
        <v>104</v>
      </c>
      <c r="AG76">
        <v>0</v>
      </c>
      <c r="AH76" t="s">
        <v>216</v>
      </c>
      <c r="AI76" t="s">
        <v>113</v>
      </c>
      <c r="AJ76" t="s">
        <v>188</v>
      </c>
      <c r="AK76" t="s">
        <v>128</v>
      </c>
    </row>
    <row r="77" spans="1:37" x14ac:dyDescent="0.25">
      <c r="A77" t="s">
        <v>628</v>
      </c>
      <c r="B77" t="str">
        <f t="shared" si="2"/>
        <v>2016</v>
      </c>
      <c r="C77" t="str">
        <f t="shared" si="3"/>
        <v>07</v>
      </c>
      <c r="D77" t="s">
        <v>629</v>
      </c>
      <c r="E77" t="s">
        <v>630</v>
      </c>
      <c r="F77" t="s">
        <v>425</v>
      </c>
      <c r="G77" t="s">
        <v>72</v>
      </c>
      <c r="H77">
        <v>0</v>
      </c>
      <c r="I77" t="s">
        <v>631</v>
      </c>
      <c r="J77">
        <v>0</v>
      </c>
      <c r="K77" t="s">
        <v>632</v>
      </c>
      <c r="L77" t="s">
        <v>633</v>
      </c>
      <c r="M77" t="s">
        <v>634</v>
      </c>
      <c r="N77">
        <v>0</v>
      </c>
      <c r="O77" t="s">
        <v>178</v>
      </c>
      <c r="P77" t="s">
        <v>635</v>
      </c>
      <c r="Q77" t="s">
        <v>37</v>
      </c>
      <c r="R77" t="s">
        <v>480</v>
      </c>
      <c r="S77" t="s">
        <v>378</v>
      </c>
      <c r="T77">
        <v>0</v>
      </c>
      <c r="U77" t="s">
        <v>636</v>
      </c>
      <c r="V77" t="s">
        <v>66</v>
      </c>
      <c r="W77" t="s">
        <v>113</v>
      </c>
      <c r="X77">
        <v>0</v>
      </c>
      <c r="Y77">
        <v>0</v>
      </c>
      <c r="Z77" t="s">
        <v>103</v>
      </c>
      <c r="AA77">
        <v>0</v>
      </c>
      <c r="AB77" t="s">
        <v>113</v>
      </c>
      <c r="AC77" t="s">
        <v>41</v>
      </c>
      <c r="AD77" t="s">
        <v>76</v>
      </c>
      <c r="AE77">
        <v>0</v>
      </c>
      <c r="AF77" t="s">
        <v>120</v>
      </c>
      <c r="AG77" t="s">
        <v>63</v>
      </c>
      <c r="AH77" t="s">
        <v>41</v>
      </c>
      <c r="AI77" t="s">
        <v>113</v>
      </c>
      <c r="AJ77" t="s">
        <v>216</v>
      </c>
      <c r="AK77" t="s">
        <v>88</v>
      </c>
    </row>
    <row r="78" spans="1:37" x14ac:dyDescent="0.25">
      <c r="A78" t="s">
        <v>637</v>
      </c>
      <c r="B78" t="str">
        <f t="shared" si="2"/>
        <v>2016</v>
      </c>
      <c r="C78" t="str">
        <f t="shared" si="3"/>
        <v>08</v>
      </c>
      <c r="D78" t="s">
        <v>638</v>
      </c>
      <c r="E78" t="s">
        <v>639</v>
      </c>
      <c r="F78" t="s">
        <v>622</v>
      </c>
      <c r="G78" t="s">
        <v>507</v>
      </c>
      <c r="H78">
        <v>0</v>
      </c>
      <c r="I78" t="s">
        <v>640</v>
      </c>
      <c r="J78">
        <v>0</v>
      </c>
      <c r="K78" t="s">
        <v>641</v>
      </c>
      <c r="L78" t="s">
        <v>642</v>
      </c>
      <c r="M78" t="s">
        <v>546</v>
      </c>
      <c r="N78">
        <v>0</v>
      </c>
      <c r="O78" t="s">
        <v>350</v>
      </c>
      <c r="P78" t="s">
        <v>643</v>
      </c>
      <c r="Q78" t="s">
        <v>644</v>
      </c>
      <c r="R78" t="s">
        <v>467</v>
      </c>
      <c r="S78" t="s">
        <v>257</v>
      </c>
      <c r="T78">
        <v>0</v>
      </c>
      <c r="U78" t="s">
        <v>62</v>
      </c>
      <c r="V78" t="s">
        <v>234</v>
      </c>
      <c r="W78" t="s">
        <v>113</v>
      </c>
      <c r="X78">
        <v>0</v>
      </c>
      <c r="Y78">
        <v>0</v>
      </c>
      <c r="Z78" t="s">
        <v>56</v>
      </c>
      <c r="AA78">
        <v>0</v>
      </c>
      <c r="AB78" t="s">
        <v>113</v>
      </c>
      <c r="AC78" t="s">
        <v>91</v>
      </c>
      <c r="AD78" t="s">
        <v>75</v>
      </c>
      <c r="AE78">
        <v>0</v>
      </c>
      <c r="AF78" t="s">
        <v>120</v>
      </c>
      <c r="AG78" t="s">
        <v>64</v>
      </c>
      <c r="AH78" t="s">
        <v>119</v>
      </c>
      <c r="AI78" t="s">
        <v>52</v>
      </c>
      <c r="AJ78" t="s">
        <v>120</v>
      </c>
      <c r="AK78" t="s">
        <v>378</v>
      </c>
    </row>
    <row r="79" spans="1:37" x14ac:dyDescent="0.25">
      <c r="A79" t="s">
        <v>645</v>
      </c>
      <c r="B79" t="str">
        <f t="shared" si="2"/>
        <v>2016</v>
      </c>
      <c r="C79" t="str">
        <f t="shared" si="3"/>
        <v>09</v>
      </c>
      <c r="D79" t="s">
        <v>646</v>
      </c>
      <c r="E79" t="s">
        <v>647</v>
      </c>
      <c r="F79" t="s">
        <v>74</v>
      </c>
      <c r="G79" t="s">
        <v>369</v>
      </c>
      <c r="H79">
        <v>0</v>
      </c>
      <c r="I79" t="s">
        <v>648</v>
      </c>
      <c r="J79">
        <v>0</v>
      </c>
      <c r="K79" t="s">
        <v>649</v>
      </c>
      <c r="L79" t="s">
        <v>359</v>
      </c>
      <c r="M79" t="s">
        <v>512</v>
      </c>
      <c r="N79">
        <v>0</v>
      </c>
      <c r="O79" t="s">
        <v>650</v>
      </c>
      <c r="P79" t="s">
        <v>521</v>
      </c>
      <c r="Q79" t="s">
        <v>651</v>
      </c>
      <c r="R79" t="s">
        <v>652</v>
      </c>
      <c r="S79" t="s">
        <v>40</v>
      </c>
      <c r="T79">
        <v>0</v>
      </c>
      <c r="U79" t="s">
        <v>44</v>
      </c>
      <c r="V79" t="s">
        <v>88</v>
      </c>
      <c r="W79" t="s">
        <v>113</v>
      </c>
      <c r="X79">
        <v>0</v>
      </c>
      <c r="Y79">
        <v>0</v>
      </c>
      <c r="Z79" t="s">
        <v>76</v>
      </c>
      <c r="AA79">
        <v>0</v>
      </c>
      <c r="AB79" t="s">
        <v>113</v>
      </c>
      <c r="AC79" t="s">
        <v>41</v>
      </c>
      <c r="AD79" t="s">
        <v>103</v>
      </c>
      <c r="AE79">
        <v>0</v>
      </c>
      <c r="AF79" t="s">
        <v>41</v>
      </c>
      <c r="AG79">
        <v>0</v>
      </c>
      <c r="AH79" t="s">
        <v>171</v>
      </c>
      <c r="AI79" t="s">
        <v>52</v>
      </c>
      <c r="AJ79" t="s">
        <v>64</v>
      </c>
      <c r="AK79" t="s">
        <v>128</v>
      </c>
    </row>
    <row r="80" spans="1:37" x14ac:dyDescent="0.25">
      <c r="A80" t="s">
        <v>653</v>
      </c>
      <c r="B80" t="str">
        <f t="shared" si="2"/>
        <v>2016</v>
      </c>
      <c r="C80" t="str">
        <f t="shared" si="3"/>
        <v>10</v>
      </c>
      <c r="D80" t="s">
        <v>654</v>
      </c>
      <c r="E80" t="s">
        <v>655</v>
      </c>
      <c r="F80" t="s">
        <v>158</v>
      </c>
      <c r="G80" t="s">
        <v>443</v>
      </c>
      <c r="H80">
        <v>0</v>
      </c>
      <c r="I80" t="s">
        <v>640</v>
      </c>
      <c r="J80">
        <v>0</v>
      </c>
      <c r="K80" t="s">
        <v>656</v>
      </c>
      <c r="L80" t="s">
        <v>263</v>
      </c>
      <c r="M80" t="s">
        <v>117</v>
      </c>
      <c r="N80">
        <v>0</v>
      </c>
      <c r="O80" t="s">
        <v>657</v>
      </c>
      <c r="P80" t="s">
        <v>658</v>
      </c>
      <c r="Q80" t="s">
        <v>43</v>
      </c>
      <c r="R80" t="s">
        <v>459</v>
      </c>
      <c r="S80" t="s">
        <v>194</v>
      </c>
      <c r="T80">
        <v>0</v>
      </c>
      <c r="U80" t="s">
        <v>224</v>
      </c>
      <c r="V80" t="s">
        <v>659</v>
      </c>
      <c r="W80" t="s">
        <v>216</v>
      </c>
      <c r="X80">
        <v>0</v>
      </c>
      <c r="Y80">
        <v>0</v>
      </c>
      <c r="Z80" t="s">
        <v>134</v>
      </c>
      <c r="AA80">
        <v>0</v>
      </c>
      <c r="AB80" t="s">
        <v>113</v>
      </c>
      <c r="AC80" t="s">
        <v>248</v>
      </c>
      <c r="AD80" t="s">
        <v>76</v>
      </c>
      <c r="AE80">
        <v>0</v>
      </c>
      <c r="AF80" t="s">
        <v>120</v>
      </c>
      <c r="AG80" t="s">
        <v>385</v>
      </c>
      <c r="AH80" t="s">
        <v>120</v>
      </c>
      <c r="AI80" t="s">
        <v>52</v>
      </c>
      <c r="AJ80" t="s">
        <v>120</v>
      </c>
      <c r="AK80" t="s">
        <v>660</v>
      </c>
    </row>
    <row r="81" spans="1:37" x14ac:dyDescent="0.25">
      <c r="A81" t="s">
        <v>661</v>
      </c>
      <c r="B81" t="str">
        <f t="shared" si="2"/>
        <v>2016</v>
      </c>
      <c r="C81" t="str">
        <f t="shared" si="3"/>
        <v>11</v>
      </c>
      <c r="D81" t="s">
        <v>662</v>
      </c>
      <c r="E81" t="s">
        <v>663</v>
      </c>
      <c r="F81" t="s">
        <v>664</v>
      </c>
      <c r="G81" t="s">
        <v>627</v>
      </c>
      <c r="H81">
        <v>0</v>
      </c>
      <c r="I81" t="s">
        <v>665</v>
      </c>
      <c r="J81">
        <v>0</v>
      </c>
      <c r="K81" t="s">
        <v>666</v>
      </c>
      <c r="L81" t="s">
        <v>299</v>
      </c>
      <c r="M81">
        <v>4</v>
      </c>
      <c r="N81">
        <v>0</v>
      </c>
      <c r="O81" t="s">
        <v>400</v>
      </c>
      <c r="P81" t="s">
        <v>48</v>
      </c>
      <c r="Q81" t="s">
        <v>169</v>
      </c>
      <c r="R81" t="s">
        <v>577</v>
      </c>
      <c r="S81" t="s">
        <v>375</v>
      </c>
      <c r="T81">
        <v>0</v>
      </c>
      <c r="U81" t="s">
        <v>193</v>
      </c>
      <c r="V81" t="s">
        <v>481</v>
      </c>
      <c r="W81" t="s">
        <v>134</v>
      </c>
      <c r="X81">
        <v>0</v>
      </c>
      <c r="Y81">
        <v>0</v>
      </c>
      <c r="Z81" t="s">
        <v>378</v>
      </c>
      <c r="AA81">
        <v>0</v>
      </c>
      <c r="AB81" t="s">
        <v>52</v>
      </c>
      <c r="AC81" t="s">
        <v>488</v>
      </c>
      <c r="AD81" t="s">
        <v>90</v>
      </c>
      <c r="AE81">
        <v>0</v>
      </c>
      <c r="AF81" t="s">
        <v>120</v>
      </c>
      <c r="AG81" t="s">
        <v>226</v>
      </c>
      <c r="AH81" t="s">
        <v>41</v>
      </c>
      <c r="AI81" t="s">
        <v>216</v>
      </c>
      <c r="AJ81" t="s">
        <v>128</v>
      </c>
      <c r="AK81" t="s">
        <v>667</v>
      </c>
    </row>
    <row r="82" spans="1:37" x14ac:dyDescent="0.25">
      <c r="A82" t="s">
        <v>668</v>
      </c>
      <c r="B82" t="str">
        <f t="shared" si="2"/>
        <v>2016</v>
      </c>
      <c r="C82" t="str">
        <f t="shared" si="3"/>
        <v>12</v>
      </c>
      <c r="D82" t="s">
        <v>669</v>
      </c>
      <c r="E82" t="s">
        <v>670</v>
      </c>
      <c r="F82" t="s">
        <v>671</v>
      </c>
      <c r="G82" t="s">
        <v>375</v>
      </c>
      <c r="H82">
        <v>0</v>
      </c>
      <c r="I82" t="s">
        <v>585</v>
      </c>
      <c r="J82">
        <v>0</v>
      </c>
      <c r="K82" t="s">
        <v>672</v>
      </c>
      <c r="L82" t="s">
        <v>307</v>
      </c>
      <c r="M82" t="s">
        <v>673</v>
      </c>
      <c r="N82">
        <v>0</v>
      </c>
      <c r="O82" t="s">
        <v>146</v>
      </c>
      <c r="P82" t="s">
        <v>498</v>
      </c>
      <c r="Q82" t="s">
        <v>674</v>
      </c>
      <c r="R82" t="s">
        <v>675</v>
      </c>
      <c r="S82" t="s">
        <v>75</v>
      </c>
      <c r="T82">
        <v>0</v>
      </c>
      <c r="U82" t="s">
        <v>482</v>
      </c>
      <c r="V82" t="s">
        <v>106</v>
      </c>
      <c r="W82" t="s">
        <v>90</v>
      </c>
      <c r="X82">
        <v>0</v>
      </c>
      <c r="Y82">
        <v>0</v>
      </c>
      <c r="Z82" t="s">
        <v>56</v>
      </c>
      <c r="AA82">
        <v>0</v>
      </c>
      <c r="AB82" t="s">
        <v>52</v>
      </c>
      <c r="AC82" t="s">
        <v>119</v>
      </c>
      <c r="AD82" t="s">
        <v>317</v>
      </c>
      <c r="AE82" t="s">
        <v>63</v>
      </c>
      <c r="AF82" t="s">
        <v>120</v>
      </c>
      <c r="AG82" t="s">
        <v>63</v>
      </c>
      <c r="AH82" t="s">
        <v>152</v>
      </c>
      <c r="AI82" t="s">
        <v>188</v>
      </c>
      <c r="AJ82" t="s">
        <v>152</v>
      </c>
      <c r="AK82" t="s">
        <v>62</v>
      </c>
    </row>
    <row r="83" spans="1:37" x14ac:dyDescent="0.25">
      <c r="A83" t="s">
        <v>676</v>
      </c>
      <c r="B83" t="str">
        <f t="shared" si="2"/>
        <v>2017</v>
      </c>
      <c r="C83" t="str">
        <f t="shared" si="3"/>
        <v>01</v>
      </c>
      <c r="D83" t="s">
        <v>677</v>
      </c>
      <c r="E83" t="s">
        <v>678</v>
      </c>
      <c r="F83" t="s">
        <v>679</v>
      </c>
      <c r="G83" t="s">
        <v>606</v>
      </c>
      <c r="H83">
        <v>0</v>
      </c>
      <c r="I83" t="s">
        <v>680</v>
      </c>
      <c r="J83">
        <v>0</v>
      </c>
      <c r="K83" t="s">
        <v>681</v>
      </c>
      <c r="L83" t="s">
        <v>271</v>
      </c>
      <c r="M83">
        <v>4</v>
      </c>
      <c r="N83">
        <v>0</v>
      </c>
      <c r="O83" t="s">
        <v>308</v>
      </c>
      <c r="P83" t="s">
        <v>89</v>
      </c>
      <c r="Q83" t="s">
        <v>682</v>
      </c>
      <c r="R83" t="s">
        <v>471</v>
      </c>
      <c r="S83" t="s">
        <v>378</v>
      </c>
      <c r="T83">
        <v>0</v>
      </c>
      <c r="U83" t="s">
        <v>452</v>
      </c>
      <c r="V83" t="s">
        <v>378</v>
      </c>
      <c r="W83" t="s">
        <v>317</v>
      </c>
      <c r="X83">
        <v>0</v>
      </c>
      <c r="Y83">
        <v>0</v>
      </c>
      <c r="Z83" t="s">
        <v>75</v>
      </c>
      <c r="AA83">
        <v>0</v>
      </c>
      <c r="AB83" t="s">
        <v>188</v>
      </c>
      <c r="AC83" t="s">
        <v>171</v>
      </c>
      <c r="AD83" t="s">
        <v>257</v>
      </c>
      <c r="AE83" t="s">
        <v>113</v>
      </c>
      <c r="AF83" t="s">
        <v>41</v>
      </c>
      <c r="AG83" t="s">
        <v>113</v>
      </c>
      <c r="AH83" t="s">
        <v>91</v>
      </c>
      <c r="AI83" t="s">
        <v>216</v>
      </c>
      <c r="AJ83" t="s">
        <v>53</v>
      </c>
      <c r="AK83" t="s">
        <v>224</v>
      </c>
    </row>
    <row r="84" spans="1:37" x14ac:dyDescent="0.25">
      <c r="A84" t="s">
        <v>683</v>
      </c>
      <c r="B84" t="str">
        <f t="shared" si="2"/>
        <v>2017</v>
      </c>
      <c r="C84" t="str">
        <f t="shared" si="3"/>
        <v>02</v>
      </c>
      <c r="D84" t="s">
        <v>684</v>
      </c>
      <c r="E84" t="s">
        <v>685</v>
      </c>
      <c r="F84" t="s">
        <v>686</v>
      </c>
      <c r="G84" t="s">
        <v>687</v>
      </c>
      <c r="H84">
        <v>0</v>
      </c>
      <c r="I84" t="s">
        <v>178</v>
      </c>
      <c r="J84">
        <v>0</v>
      </c>
      <c r="K84" t="s">
        <v>688</v>
      </c>
      <c r="L84" t="s">
        <v>164</v>
      </c>
      <c r="M84" t="s">
        <v>689</v>
      </c>
      <c r="N84">
        <v>0</v>
      </c>
      <c r="O84" t="s">
        <v>690</v>
      </c>
      <c r="P84" t="s">
        <v>675</v>
      </c>
      <c r="Q84" t="s">
        <v>179</v>
      </c>
      <c r="R84" t="s">
        <v>164</v>
      </c>
      <c r="S84" t="s">
        <v>88</v>
      </c>
      <c r="T84">
        <v>0</v>
      </c>
      <c r="U84" t="s">
        <v>317</v>
      </c>
      <c r="V84" t="s">
        <v>88</v>
      </c>
      <c r="W84" t="s">
        <v>224</v>
      </c>
      <c r="X84">
        <v>0</v>
      </c>
      <c r="Y84" t="s">
        <v>119</v>
      </c>
      <c r="Z84" t="s">
        <v>42</v>
      </c>
      <c r="AA84">
        <v>0</v>
      </c>
      <c r="AB84" t="s">
        <v>188</v>
      </c>
      <c r="AC84" t="s">
        <v>171</v>
      </c>
      <c r="AD84" t="s">
        <v>75</v>
      </c>
      <c r="AE84" t="s">
        <v>113</v>
      </c>
      <c r="AF84" t="s">
        <v>171</v>
      </c>
      <c r="AG84" t="s">
        <v>63</v>
      </c>
      <c r="AH84" t="s">
        <v>128</v>
      </c>
      <c r="AI84" t="s">
        <v>171</v>
      </c>
      <c r="AJ84" t="s">
        <v>378</v>
      </c>
      <c r="AK84" t="s">
        <v>300</v>
      </c>
    </row>
    <row r="85" spans="1:37" x14ac:dyDescent="0.25">
      <c r="A85" t="s">
        <v>691</v>
      </c>
      <c r="B85" t="str">
        <f t="shared" si="2"/>
        <v>2017</v>
      </c>
      <c r="C85" t="str">
        <f t="shared" si="3"/>
        <v>03</v>
      </c>
      <c r="D85" t="s">
        <v>692</v>
      </c>
      <c r="E85" t="s">
        <v>693</v>
      </c>
      <c r="F85" t="s">
        <v>694</v>
      </c>
      <c r="G85" t="s">
        <v>200</v>
      </c>
      <c r="H85">
        <v>0</v>
      </c>
      <c r="I85" t="s">
        <v>695</v>
      </c>
      <c r="J85">
        <v>0</v>
      </c>
      <c r="K85" t="s">
        <v>696</v>
      </c>
      <c r="L85" t="s">
        <v>697</v>
      </c>
      <c r="M85" t="s">
        <v>698</v>
      </c>
      <c r="N85">
        <v>0</v>
      </c>
      <c r="O85" t="s">
        <v>401</v>
      </c>
      <c r="P85" t="s">
        <v>577</v>
      </c>
      <c r="Q85" t="s">
        <v>428</v>
      </c>
      <c r="R85" t="s">
        <v>323</v>
      </c>
      <c r="S85" t="s">
        <v>66</v>
      </c>
      <c r="T85">
        <v>0</v>
      </c>
      <c r="U85" t="s">
        <v>379</v>
      </c>
      <c r="V85" t="s">
        <v>103</v>
      </c>
      <c r="W85" t="s">
        <v>55</v>
      </c>
      <c r="X85" t="s">
        <v>63</v>
      </c>
      <c r="Y85" t="s">
        <v>119</v>
      </c>
      <c r="Z85" t="s">
        <v>134</v>
      </c>
      <c r="AA85">
        <v>0</v>
      </c>
      <c r="AB85" t="s">
        <v>216</v>
      </c>
      <c r="AC85" t="s">
        <v>41</v>
      </c>
      <c r="AD85" t="s">
        <v>45</v>
      </c>
      <c r="AE85" t="s">
        <v>113</v>
      </c>
      <c r="AF85" t="s">
        <v>120</v>
      </c>
      <c r="AG85" t="s">
        <v>188</v>
      </c>
      <c r="AH85" t="s">
        <v>107</v>
      </c>
      <c r="AI85" t="s">
        <v>119</v>
      </c>
      <c r="AJ85" t="s">
        <v>53</v>
      </c>
      <c r="AK85" t="s">
        <v>240</v>
      </c>
    </row>
    <row r="86" spans="1:37" x14ac:dyDescent="0.25">
      <c r="A86" t="s">
        <v>699</v>
      </c>
      <c r="B86" t="str">
        <f t="shared" si="2"/>
        <v>2017</v>
      </c>
      <c r="C86" t="str">
        <f t="shared" si="3"/>
        <v>04</v>
      </c>
      <c r="D86" t="s">
        <v>700</v>
      </c>
      <c r="E86" t="s">
        <v>701</v>
      </c>
      <c r="F86">
        <v>8</v>
      </c>
      <c r="G86" t="s">
        <v>702</v>
      </c>
      <c r="H86">
        <v>0</v>
      </c>
      <c r="I86" t="s">
        <v>50</v>
      </c>
      <c r="J86">
        <v>0</v>
      </c>
      <c r="K86" t="s">
        <v>703</v>
      </c>
      <c r="L86" t="s">
        <v>675</v>
      </c>
      <c r="M86" t="s">
        <v>704</v>
      </c>
      <c r="N86">
        <v>0</v>
      </c>
      <c r="O86" t="s">
        <v>187</v>
      </c>
      <c r="P86" t="s">
        <v>705</v>
      </c>
      <c r="Q86" t="s">
        <v>409</v>
      </c>
      <c r="R86" t="s">
        <v>567</v>
      </c>
      <c r="S86" t="s">
        <v>55</v>
      </c>
      <c r="T86" t="s">
        <v>63</v>
      </c>
      <c r="U86" t="s">
        <v>97</v>
      </c>
      <c r="V86" t="s">
        <v>706</v>
      </c>
      <c r="W86" t="s">
        <v>224</v>
      </c>
      <c r="X86" t="s">
        <v>113</v>
      </c>
      <c r="Y86" t="s">
        <v>119</v>
      </c>
      <c r="Z86" t="s">
        <v>76</v>
      </c>
      <c r="AA86">
        <v>0</v>
      </c>
      <c r="AB86" t="s">
        <v>171</v>
      </c>
      <c r="AC86" t="s">
        <v>378</v>
      </c>
      <c r="AD86" t="s">
        <v>300</v>
      </c>
      <c r="AE86" t="s">
        <v>52</v>
      </c>
      <c r="AF86" t="s">
        <v>64</v>
      </c>
      <c r="AG86" t="s">
        <v>66</v>
      </c>
      <c r="AH86" t="s">
        <v>106</v>
      </c>
      <c r="AI86" t="s">
        <v>120</v>
      </c>
      <c r="AJ86" t="s">
        <v>66</v>
      </c>
      <c r="AK86" t="s">
        <v>256</v>
      </c>
    </row>
    <row r="87" spans="1:37" x14ac:dyDescent="0.25">
      <c r="A87" t="s">
        <v>707</v>
      </c>
      <c r="B87" t="str">
        <f t="shared" si="2"/>
        <v>2017</v>
      </c>
      <c r="C87" t="str">
        <f t="shared" si="3"/>
        <v>05</v>
      </c>
      <c r="D87" t="s">
        <v>708</v>
      </c>
      <c r="E87" t="s">
        <v>709</v>
      </c>
      <c r="F87" t="s">
        <v>710</v>
      </c>
      <c r="G87" t="s">
        <v>170</v>
      </c>
      <c r="H87">
        <v>0</v>
      </c>
      <c r="I87" t="s">
        <v>711</v>
      </c>
      <c r="J87">
        <v>0</v>
      </c>
      <c r="K87" t="s">
        <v>712</v>
      </c>
      <c r="L87" t="s">
        <v>539</v>
      </c>
      <c r="M87" t="s">
        <v>625</v>
      </c>
      <c r="N87">
        <v>0</v>
      </c>
      <c r="O87" t="s">
        <v>271</v>
      </c>
      <c r="P87" t="s">
        <v>635</v>
      </c>
      <c r="Q87" t="s">
        <v>199</v>
      </c>
      <c r="R87" t="s">
        <v>292</v>
      </c>
      <c r="S87" t="s">
        <v>293</v>
      </c>
      <c r="T87" t="s">
        <v>63</v>
      </c>
      <c r="U87" t="s">
        <v>193</v>
      </c>
      <c r="V87" t="s">
        <v>442</v>
      </c>
      <c r="W87" t="s">
        <v>435</v>
      </c>
      <c r="X87" t="s">
        <v>52</v>
      </c>
      <c r="Y87" t="s">
        <v>41</v>
      </c>
      <c r="Z87" t="s">
        <v>76</v>
      </c>
      <c r="AA87">
        <v>0</v>
      </c>
      <c r="AB87" t="s">
        <v>171</v>
      </c>
      <c r="AC87" t="s">
        <v>126</v>
      </c>
      <c r="AD87" t="s">
        <v>72</v>
      </c>
      <c r="AE87" t="s">
        <v>52</v>
      </c>
      <c r="AF87" t="s">
        <v>120</v>
      </c>
      <c r="AG87" t="s">
        <v>134</v>
      </c>
      <c r="AH87" t="s">
        <v>152</v>
      </c>
      <c r="AI87" t="s">
        <v>41</v>
      </c>
      <c r="AJ87" t="s">
        <v>107</v>
      </c>
      <c r="AK87" t="s">
        <v>256</v>
      </c>
    </row>
    <row r="88" spans="1:37" x14ac:dyDescent="0.25">
      <c r="A88" t="s">
        <v>713</v>
      </c>
      <c r="B88" t="str">
        <f t="shared" si="2"/>
        <v>2017</v>
      </c>
      <c r="C88" t="str">
        <f t="shared" si="3"/>
        <v>06</v>
      </c>
      <c r="D88" t="s">
        <v>714</v>
      </c>
      <c r="E88" t="s">
        <v>701</v>
      </c>
      <c r="F88" t="s">
        <v>715</v>
      </c>
      <c r="G88" t="s">
        <v>447</v>
      </c>
      <c r="H88">
        <v>0</v>
      </c>
      <c r="I88">
        <v>5</v>
      </c>
      <c r="J88">
        <v>0</v>
      </c>
      <c r="K88" t="s">
        <v>716</v>
      </c>
      <c r="L88" t="s">
        <v>657</v>
      </c>
      <c r="M88" t="s">
        <v>717</v>
      </c>
      <c r="N88">
        <v>0</v>
      </c>
      <c r="O88" t="s">
        <v>263</v>
      </c>
      <c r="P88" t="s">
        <v>426</v>
      </c>
      <c r="Q88" t="s">
        <v>525</v>
      </c>
      <c r="R88" t="s">
        <v>114</v>
      </c>
      <c r="S88" t="s">
        <v>718</v>
      </c>
      <c r="T88" t="s">
        <v>63</v>
      </c>
      <c r="U88" t="s">
        <v>353</v>
      </c>
      <c r="V88" t="s">
        <v>186</v>
      </c>
      <c r="W88" t="s">
        <v>507</v>
      </c>
      <c r="X88" t="s">
        <v>216</v>
      </c>
      <c r="Y88" t="s">
        <v>73</v>
      </c>
      <c r="Z88" t="s">
        <v>56</v>
      </c>
      <c r="AA88">
        <v>0</v>
      </c>
      <c r="AB88" t="s">
        <v>171</v>
      </c>
      <c r="AC88" t="s">
        <v>300</v>
      </c>
      <c r="AD88" t="s">
        <v>300</v>
      </c>
      <c r="AE88" t="s">
        <v>52</v>
      </c>
      <c r="AF88" t="s">
        <v>128</v>
      </c>
      <c r="AG88" t="s">
        <v>207</v>
      </c>
      <c r="AH88" t="s">
        <v>378</v>
      </c>
      <c r="AI88" t="s">
        <v>41</v>
      </c>
      <c r="AJ88" t="s">
        <v>152</v>
      </c>
      <c r="AK88" t="s">
        <v>456</v>
      </c>
    </row>
    <row r="89" spans="1:37" x14ac:dyDescent="0.25">
      <c r="A89" t="s">
        <v>719</v>
      </c>
      <c r="B89" t="str">
        <f t="shared" si="2"/>
        <v>2017</v>
      </c>
      <c r="C89" t="str">
        <f t="shared" si="3"/>
        <v>07</v>
      </c>
      <c r="D89" t="s">
        <v>364</v>
      </c>
      <c r="E89" t="s">
        <v>720</v>
      </c>
      <c r="F89" t="s">
        <v>721</v>
      </c>
      <c r="G89" t="s">
        <v>153</v>
      </c>
      <c r="H89">
        <v>0</v>
      </c>
      <c r="I89" t="s">
        <v>722</v>
      </c>
      <c r="J89">
        <v>0</v>
      </c>
      <c r="K89" t="s">
        <v>723</v>
      </c>
      <c r="L89" t="s">
        <v>724</v>
      </c>
      <c r="M89" t="s">
        <v>725</v>
      </c>
      <c r="N89">
        <v>0</v>
      </c>
      <c r="O89" t="s">
        <v>702</v>
      </c>
      <c r="P89" t="s">
        <v>726</v>
      </c>
      <c r="Q89" t="s">
        <v>727</v>
      </c>
      <c r="R89" t="s">
        <v>675</v>
      </c>
      <c r="S89" t="s">
        <v>533</v>
      </c>
      <c r="T89" t="s">
        <v>63</v>
      </c>
      <c r="U89" t="s">
        <v>507</v>
      </c>
      <c r="V89" t="s">
        <v>596</v>
      </c>
      <c r="W89" t="s">
        <v>369</v>
      </c>
      <c r="X89" t="s">
        <v>119</v>
      </c>
      <c r="Y89" t="s">
        <v>66</v>
      </c>
      <c r="Z89" t="s">
        <v>56</v>
      </c>
      <c r="AA89">
        <v>0</v>
      </c>
      <c r="AB89" t="s">
        <v>119</v>
      </c>
      <c r="AC89" t="s">
        <v>103</v>
      </c>
      <c r="AD89" t="s">
        <v>286</v>
      </c>
      <c r="AE89" t="s">
        <v>52</v>
      </c>
      <c r="AF89" t="s">
        <v>64</v>
      </c>
      <c r="AG89" t="s">
        <v>56</v>
      </c>
      <c r="AH89" t="s">
        <v>134</v>
      </c>
      <c r="AI89" t="s">
        <v>41</v>
      </c>
      <c r="AJ89" t="s">
        <v>53</v>
      </c>
      <c r="AK89">
        <v>1</v>
      </c>
    </row>
    <row r="90" spans="1:37" x14ac:dyDescent="0.25">
      <c r="A90" t="s">
        <v>728</v>
      </c>
      <c r="B90" t="str">
        <f t="shared" si="2"/>
        <v>2017</v>
      </c>
      <c r="C90" t="str">
        <f t="shared" si="3"/>
        <v>08</v>
      </c>
      <c r="D90" t="s">
        <v>729</v>
      </c>
      <c r="E90" t="s">
        <v>730</v>
      </c>
      <c r="F90" t="s">
        <v>731</v>
      </c>
      <c r="G90" t="s">
        <v>732</v>
      </c>
      <c r="H90">
        <v>0</v>
      </c>
      <c r="I90" t="s">
        <v>733</v>
      </c>
      <c r="J90">
        <v>0</v>
      </c>
      <c r="K90" t="s">
        <v>734</v>
      </c>
      <c r="L90" t="s">
        <v>616</v>
      </c>
      <c r="M90" t="s">
        <v>735</v>
      </c>
      <c r="N90">
        <v>0</v>
      </c>
      <c r="O90" t="s">
        <v>349</v>
      </c>
      <c r="P90" t="s">
        <v>436</v>
      </c>
      <c r="Q90" t="s">
        <v>736</v>
      </c>
      <c r="R90" t="s">
        <v>737</v>
      </c>
      <c r="S90" t="s">
        <v>97</v>
      </c>
      <c r="T90" t="s">
        <v>63</v>
      </c>
      <c r="U90" t="s">
        <v>410</v>
      </c>
      <c r="V90" t="s">
        <v>718</v>
      </c>
      <c r="W90" t="s">
        <v>435</v>
      </c>
      <c r="X90" t="s">
        <v>64</v>
      </c>
      <c r="Y90" t="s">
        <v>126</v>
      </c>
      <c r="Z90" t="s">
        <v>134</v>
      </c>
      <c r="AA90">
        <v>0</v>
      </c>
      <c r="AB90" t="s">
        <v>119</v>
      </c>
      <c r="AC90" t="s">
        <v>134</v>
      </c>
      <c r="AD90" t="s">
        <v>241</v>
      </c>
      <c r="AE90" t="s">
        <v>52</v>
      </c>
      <c r="AF90" t="s">
        <v>88</v>
      </c>
      <c r="AG90" t="s">
        <v>66</v>
      </c>
      <c r="AH90" t="s">
        <v>152</v>
      </c>
      <c r="AI90" t="s">
        <v>64</v>
      </c>
      <c r="AJ90" t="s">
        <v>152</v>
      </c>
      <c r="AK90" t="s">
        <v>667</v>
      </c>
    </row>
    <row r="91" spans="1:37" x14ac:dyDescent="0.25">
      <c r="A91" t="s">
        <v>738</v>
      </c>
      <c r="B91" t="str">
        <f t="shared" si="2"/>
        <v>2017</v>
      </c>
      <c r="C91" t="str">
        <f t="shared" si="3"/>
        <v>09</v>
      </c>
      <c r="D91" t="s">
        <v>739</v>
      </c>
      <c r="E91" t="s">
        <v>740</v>
      </c>
      <c r="F91" t="s">
        <v>741</v>
      </c>
      <c r="G91" t="s">
        <v>350</v>
      </c>
      <c r="H91">
        <v>0</v>
      </c>
      <c r="I91" t="s">
        <v>742</v>
      </c>
      <c r="J91">
        <v>0</v>
      </c>
      <c r="K91" t="s">
        <v>743</v>
      </c>
      <c r="L91" t="s">
        <v>657</v>
      </c>
      <c r="M91" t="s">
        <v>112</v>
      </c>
      <c r="N91">
        <v>0</v>
      </c>
      <c r="O91" t="s">
        <v>612</v>
      </c>
      <c r="P91" t="s">
        <v>516</v>
      </c>
      <c r="Q91" t="s">
        <v>428</v>
      </c>
      <c r="R91" t="s">
        <v>682</v>
      </c>
      <c r="S91" t="s">
        <v>207</v>
      </c>
      <c r="T91" t="s">
        <v>63</v>
      </c>
      <c r="U91" t="s">
        <v>369</v>
      </c>
      <c r="V91" t="s">
        <v>443</v>
      </c>
      <c r="W91" t="s">
        <v>224</v>
      </c>
      <c r="X91" t="s">
        <v>73</v>
      </c>
      <c r="Y91" t="s">
        <v>103</v>
      </c>
      <c r="Z91" t="s">
        <v>378</v>
      </c>
      <c r="AA91">
        <v>0</v>
      </c>
      <c r="AB91" t="s">
        <v>119</v>
      </c>
      <c r="AC91" t="s">
        <v>152</v>
      </c>
      <c r="AD91" t="s">
        <v>316</v>
      </c>
      <c r="AE91" t="s">
        <v>113</v>
      </c>
      <c r="AF91" t="s">
        <v>64</v>
      </c>
      <c r="AG91" t="s">
        <v>88</v>
      </c>
      <c r="AH91" t="s">
        <v>73</v>
      </c>
      <c r="AI91" t="s">
        <v>104</v>
      </c>
      <c r="AJ91" t="s">
        <v>53</v>
      </c>
      <c r="AK91" t="s">
        <v>667</v>
      </c>
    </row>
    <row r="92" spans="1:37" x14ac:dyDescent="0.25">
      <c r="A92" t="s">
        <v>744</v>
      </c>
      <c r="B92" t="str">
        <f t="shared" si="2"/>
        <v>2017</v>
      </c>
      <c r="C92" t="str">
        <f t="shared" si="3"/>
        <v>10</v>
      </c>
      <c r="D92" t="s">
        <v>745</v>
      </c>
      <c r="E92" t="s">
        <v>746</v>
      </c>
      <c r="F92" t="s">
        <v>747</v>
      </c>
      <c r="G92" t="s">
        <v>376</v>
      </c>
      <c r="H92">
        <v>0</v>
      </c>
      <c r="I92" t="s">
        <v>748</v>
      </c>
      <c r="J92">
        <v>0</v>
      </c>
      <c r="K92" t="s">
        <v>749</v>
      </c>
      <c r="L92" t="s">
        <v>467</v>
      </c>
      <c r="M92" t="s">
        <v>750</v>
      </c>
      <c r="N92">
        <v>0</v>
      </c>
      <c r="O92" t="s">
        <v>606</v>
      </c>
      <c r="P92" t="s">
        <v>751</v>
      </c>
      <c r="Q92" t="s">
        <v>153</v>
      </c>
      <c r="R92" t="s">
        <v>732</v>
      </c>
      <c r="S92" t="s">
        <v>193</v>
      </c>
      <c r="T92" t="s">
        <v>113</v>
      </c>
      <c r="U92" t="s">
        <v>353</v>
      </c>
      <c r="V92" t="s">
        <v>752</v>
      </c>
      <c r="W92" t="s">
        <v>507</v>
      </c>
      <c r="X92" t="s">
        <v>73</v>
      </c>
      <c r="Y92" t="s">
        <v>316</v>
      </c>
      <c r="Z92" t="s">
        <v>56</v>
      </c>
      <c r="AA92">
        <v>0</v>
      </c>
      <c r="AB92" t="s">
        <v>41</v>
      </c>
      <c r="AC92" t="s">
        <v>106</v>
      </c>
      <c r="AD92" t="s">
        <v>207</v>
      </c>
      <c r="AE92" t="s">
        <v>188</v>
      </c>
      <c r="AF92" t="s">
        <v>120</v>
      </c>
      <c r="AG92" t="s">
        <v>107</v>
      </c>
      <c r="AH92" t="s">
        <v>128</v>
      </c>
      <c r="AI92" t="s">
        <v>64</v>
      </c>
      <c r="AJ92" t="s">
        <v>106</v>
      </c>
      <c r="AK92" t="s">
        <v>208</v>
      </c>
    </row>
    <row r="93" spans="1:37" x14ac:dyDescent="0.25">
      <c r="A93" t="s">
        <v>753</v>
      </c>
      <c r="B93" t="str">
        <f t="shared" si="2"/>
        <v>2017</v>
      </c>
      <c r="C93" t="str">
        <f t="shared" si="3"/>
        <v>11</v>
      </c>
      <c r="D93" t="s">
        <v>754</v>
      </c>
      <c r="E93" t="s">
        <v>755</v>
      </c>
      <c r="F93" t="s">
        <v>332</v>
      </c>
      <c r="G93" t="s">
        <v>652</v>
      </c>
      <c r="H93">
        <v>0</v>
      </c>
      <c r="I93" t="s">
        <v>756</v>
      </c>
      <c r="J93">
        <v>0</v>
      </c>
      <c r="K93" t="s">
        <v>757</v>
      </c>
      <c r="L93" t="s">
        <v>184</v>
      </c>
      <c r="M93" t="s">
        <v>758</v>
      </c>
      <c r="N93">
        <v>0</v>
      </c>
      <c r="O93" t="s">
        <v>394</v>
      </c>
      <c r="P93" t="s">
        <v>89</v>
      </c>
      <c r="Q93" t="s">
        <v>428</v>
      </c>
      <c r="R93" t="s">
        <v>135</v>
      </c>
      <c r="S93" t="s">
        <v>300</v>
      </c>
      <c r="T93" t="s">
        <v>113</v>
      </c>
      <c r="U93" t="s">
        <v>507</v>
      </c>
      <c r="V93" t="s">
        <v>379</v>
      </c>
      <c r="W93" t="s">
        <v>234</v>
      </c>
      <c r="X93" t="s">
        <v>53</v>
      </c>
      <c r="Y93" t="s">
        <v>224</v>
      </c>
      <c r="Z93" t="s">
        <v>378</v>
      </c>
      <c r="AA93">
        <v>0</v>
      </c>
      <c r="AB93" t="s">
        <v>41</v>
      </c>
      <c r="AC93" t="s">
        <v>88</v>
      </c>
      <c r="AD93" t="s">
        <v>286</v>
      </c>
      <c r="AE93" t="s">
        <v>188</v>
      </c>
      <c r="AF93" t="s">
        <v>120</v>
      </c>
      <c r="AG93" t="s">
        <v>119</v>
      </c>
      <c r="AH93" t="s">
        <v>73</v>
      </c>
      <c r="AI93" t="s">
        <v>120</v>
      </c>
      <c r="AJ93" t="s">
        <v>107</v>
      </c>
      <c r="AK93" t="s">
        <v>517</v>
      </c>
    </row>
    <row r="94" spans="1:37" x14ac:dyDescent="0.25">
      <c r="A94" t="s">
        <v>759</v>
      </c>
      <c r="B94" t="str">
        <f t="shared" si="2"/>
        <v>2017</v>
      </c>
      <c r="C94" t="str">
        <f t="shared" si="3"/>
        <v>12</v>
      </c>
      <c r="D94" t="s">
        <v>760</v>
      </c>
      <c r="E94" t="s">
        <v>761</v>
      </c>
      <c r="F94" t="s">
        <v>334</v>
      </c>
      <c r="G94" t="s">
        <v>674</v>
      </c>
      <c r="H94">
        <v>0</v>
      </c>
      <c r="I94" t="s">
        <v>762</v>
      </c>
      <c r="J94">
        <v>0</v>
      </c>
      <c r="K94" t="s">
        <v>763</v>
      </c>
      <c r="L94" t="s">
        <v>467</v>
      </c>
      <c r="M94" t="s">
        <v>725</v>
      </c>
      <c r="N94">
        <v>0</v>
      </c>
      <c r="O94" t="s">
        <v>687</v>
      </c>
      <c r="P94" t="s">
        <v>751</v>
      </c>
      <c r="Q94" t="s">
        <v>367</v>
      </c>
      <c r="R94" t="s">
        <v>392</v>
      </c>
      <c r="S94" t="s">
        <v>248</v>
      </c>
      <c r="T94" t="s">
        <v>63</v>
      </c>
      <c r="U94" t="s">
        <v>293</v>
      </c>
      <c r="V94" t="s">
        <v>329</v>
      </c>
      <c r="W94" t="s">
        <v>293</v>
      </c>
      <c r="X94" t="s">
        <v>53</v>
      </c>
      <c r="Y94" t="s">
        <v>193</v>
      </c>
      <c r="Z94" t="s">
        <v>66</v>
      </c>
      <c r="AA94">
        <v>0</v>
      </c>
      <c r="AB94" t="s">
        <v>171</v>
      </c>
      <c r="AC94" t="s">
        <v>316</v>
      </c>
      <c r="AD94" t="s">
        <v>316</v>
      </c>
      <c r="AE94" t="s">
        <v>216</v>
      </c>
      <c r="AF94" t="s">
        <v>41</v>
      </c>
      <c r="AG94" t="s">
        <v>300</v>
      </c>
      <c r="AH94" t="s">
        <v>128</v>
      </c>
      <c r="AI94" t="s">
        <v>119</v>
      </c>
      <c r="AJ94" t="s">
        <v>91</v>
      </c>
      <c r="AK94" t="s">
        <v>270</v>
      </c>
    </row>
    <row r="95" spans="1:37" x14ac:dyDescent="0.25">
      <c r="A95" t="s">
        <v>764</v>
      </c>
      <c r="B95" t="str">
        <f t="shared" si="2"/>
        <v>2018</v>
      </c>
      <c r="C95" t="str">
        <f t="shared" si="3"/>
        <v>01</v>
      </c>
      <c r="D95" t="s">
        <v>765</v>
      </c>
      <c r="E95" t="s">
        <v>766</v>
      </c>
      <c r="F95" t="s">
        <v>710</v>
      </c>
      <c r="G95" t="s">
        <v>451</v>
      </c>
      <c r="H95">
        <v>0</v>
      </c>
      <c r="I95" t="s">
        <v>767</v>
      </c>
      <c r="J95">
        <v>0</v>
      </c>
      <c r="K95" t="s">
        <v>415</v>
      </c>
      <c r="L95" t="s">
        <v>516</v>
      </c>
      <c r="M95" t="s">
        <v>768</v>
      </c>
      <c r="N95">
        <v>0</v>
      </c>
      <c r="O95" t="s">
        <v>769</v>
      </c>
      <c r="P95" t="s">
        <v>547</v>
      </c>
      <c r="Q95" t="s">
        <v>469</v>
      </c>
      <c r="R95" t="s">
        <v>271</v>
      </c>
      <c r="S95" t="s">
        <v>633</v>
      </c>
      <c r="T95" t="s">
        <v>52</v>
      </c>
      <c r="U95" t="s">
        <v>316</v>
      </c>
      <c r="V95" t="s">
        <v>770</v>
      </c>
      <c r="W95" t="s">
        <v>353</v>
      </c>
      <c r="X95" t="s">
        <v>317</v>
      </c>
      <c r="Y95" t="s">
        <v>234</v>
      </c>
      <c r="Z95" t="s">
        <v>53</v>
      </c>
      <c r="AA95">
        <v>0</v>
      </c>
      <c r="AB95" t="s">
        <v>188</v>
      </c>
      <c r="AC95" t="s">
        <v>452</v>
      </c>
      <c r="AD95" t="s">
        <v>241</v>
      </c>
      <c r="AE95" t="s">
        <v>119</v>
      </c>
      <c r="AF95" t="s">
        <v>64</v>
      </c>
      <c r="AG95" t="s">
        <v>360</v>
      </c>
      <c r="AH95" t="s">
        <v>64</v>
      </c>
      <c r="AI95" t="s">
        <v>171</v>
      </c>
      <c r="AJ95" t="s">
        <v>91</v>
      </c>
      <c r="AK95" t="s">
        <v>323</v>
      </c>
    </row>
    <row r="96" spans="1:37" x14ac:dyDescent="0.25">
      <c r="A96" t="s">
        <v>771</v>
      </c>
      <c r="B96" t="str">
        <f t="shared" si="2"/>
        <v>2018</v>
      </c>
      <c r="C96" t="str">
        <f t="shared" si="3"/>
        <v>02</v>
      </c>
      <c r="D96" t="s">
        <v>772</v>
      </c>
      <c r="E96" t="s">
        <v>773</v>
      </c>
      <c r="F96" t="s">
        <v>774</v>
      </c>
      <c r="G96" t="s">
        <v>726</v>
      </c>
      <c r="H96">
        <v>0</v>
      </c>
      <c r="I96" t="s">
        <v>775</v>
      </c>
      <c r="J96">
        <v>0</v>
      </c>
      <c r="K96" t="s">
        <v>776</v>
      </c>
      <c r="L96" t="s">
        <v>237</v>
      </c>
      <c r="M96" t="s">
        <v>777</v>
      </c>
      <c r="N96">
        <v>0</v>
      </c>
      <c r="O96">
        <v>1</v>
      </c>
      <c r="P96">
        <v>2</v>
      </c>
      <c r="Q96" t="s">
        <v>170</v>
      </c>
      <c r="R96" t="s">
        <v>164</v>
      </c>
      <c r="S96" t="s">
        <v>241</v>
      </c>
      <c r="T96" t="s">
        <v>188</v>
      </c>
      <c r="U96" t="s">
        <v>353</v>
      </c>
      <c r="V96" t="s">
        <v>293</v>
      </c>
      <c r="W96" t="s">
        <v>234</v>
      </c>
      <c r="X96" t="s">
        <v>56</v>
      </c>
      <c r="Y96" t="s">
        <v>778</v>
      </c>
      <c r="Z96" t="s">
        <v>66</v>
      </c>
      <c r="AA96">
        <v>0</v>
      </c>
      <c r="AB96" t="s">
        <v>188</v>
      </c>
      <c r="AC96" t="s">
        <v>73</v>
      </c>
      <c r="AD96" t="s">
        <v>62</v>
      </c>
      <c r="AE96" t="s">
        <v>216</v>
      </c>
      <c r="AF96" t="s">
        <v>216</v>
      </c>
      <c r="AG96" t="s">
        <v>119</v>
      </c>
      <c r="AH96" t="s">
        <v>104</v>
      </c>
      <c r="AI96" t="s">
        <v>119</v>
      </c>
      <c r="AJ96" t="s">
        <v>103</v>
      </c>
      <c r="AK96" t="s">
        <v>636</v>
      </c>
    </row>
    <row r="97" spans="1:37" x14ac:dyDescent="0.25">
      <c r="A97" t="s">
        <v>779</v>
      </c>
      <c r="B97" t="str">
        <f t="shared" si="2"/>
        <v>2018</v>
      </c>
      <c r="C97" t="str">
        <f t="shared" si="3"/>
        <v>03</v>
      </c>
      <c r="D97" t="s">
        <v>780</v>
      </c>
      <c r="E97" t="s">
        <v>781</v>
      </c>
      <c r="F97" t="s">
        <v>267</v>
      </c>
      <c r="G97" t="s">
        <v>247</v>
      </c>
      <c r="H97">
        <v>0</v>
      </c>
      <c r="I97" t="s">
        <v>605</v>
      </c>
      <c r="J97">
        <v>0</v>
      </c>
      <c r="K97" t="s">
        <v>782</v>
      </c>
      <c r="L97" t="s">
        <v>436</v>
      </c>
      <c r="M97" t="s">
        <v>587</v>
      </c>
      <c r="N97">
        <v>0</v>
      </c>
      <c r="O97" t="s">
        <v>596</v>
      </c>
      <c r="P97" t="s">
        <v>727</v>
      </c>
      <c r="Q97" t="s">
        <v>359</v>
      </c>
      <c r="R97" t="s">
        <v>187</v>
      </c>
      <c r="S97" t="s">
        <v>241</v>
      </c>
      <c r="T97" t="s">
        <v>63</v>
      </c>
      <c r="U97" t="s">
        <v>193</v>
      </c>
      <c r="V97" t="s">
        <v>369</v>
      </c>
      <c r="W97" t="s">
        <v>317</v>
      </c>
      <c r="X97" t="s">
        <v>286</v>
      </c>
      <c r="Y97" t="s">
        <v>242</v>
      </c>
      <c r="Z97" t="s">
        <v>103</v>
      </c>
      <c r="AA97">
        <v>0</v>
      </c>
      <c r="AB97" t="s">
        <v>52</v>
      </c>
      <c r="AC97" t="s">
        <v>88</v>
      </c>
      <c r="AD97" t="s">
        <v>75</v>
      </c>
      <c r="AE97" t="s">
        <v>119</v>
      </c>
      <c r="AF97" t="s">
        <v>216</v>
      </c>
      <c r="AG97" t="s">
        <v>64</v>
      </c>
      <c r="AH97" t="s">
        <v>88</v>
      </c>
      <c r="AI97" t="s">
        <v>171</v>
      </c>
      <c r="AJ97" t="s">
        <v>73</v>
      </c>
      <c r="AK97" t="s">
        <v>264</v>
      </c>
    </row>
    <row r="98" spans="1:37" x14ac:dyDescent="0.25">
      <c r="A98" t="s">
        <v>783</v>
      </c>
      <c r="B98" t="str">
        <f t="shared" si="2"/>
        <v>2018</v>
      </c>
      <c r="C98" t="str">
        <f t="shared" si="3"/>
        <v>04</v>
      </c>
      <c r="D98" t="s">
        <v>784</v>
      </c>
      <c r="E98" t="s">
        <v>785</v>
      </c>
      <c r="F98" t="s">
        <v>786</v>
      </c>
      <c r="G98" t="s">
        <v>470</v>
      </c>
      <c r="H98">
        <v>0</v>
      </c>
      <c r="I98" t="s">
        <v>158</v>
      </c>
      <c r="J98">
        <v>0</v>
      </c>
      <c r="K98" t="s">
        <v>787</v>
      </c>
      <c r="L98" t="s">
        <v>96</v>
      </c>
      <c r="M98" t="s">
        <v>788</v>
      </c>
      <c r="N98">
        <v>0</v>
      </c>
      <c r="O98" t="s">
        <v>789</v>
      </c>
      <c r="P98" t="s">
        <v>727</v>
      </c>
      <c r="Q98" t="s">
        <v>170</v>
      </c>
      <c r="R98" t="s">
        <v>279</v>
      </c>
      <c r="S98" t="s">
        <v>353</v>
      </c>
      <c r="T98" t="s">
        <v>63</v>
      </c>
      <c r="U98" t="s">
        <v>185</v>
      </c>
      <c r="V98">
        <v>1</v>
      </c>
      <c r="W98" t="s">
        <v>103</v>
      </c>
      <c r="X98" t="s">
        <v>91</v>
      </c>
      <c r="Y98" t="s">
        <v>507</v>
      </c>
      <c r="Z98" t="s">
        <v>317</v>
      </c>
      <c r="AA98">
        <v>0</v>
      </c>
      <c r="AB98" t="s">
        <v>52</v>
      </c>
      <c r="AC98" t="s">
        <v>66</v>
      </c>
      <c r="AD98" t="s">
        <v>126</v>
      </c>
      <c r="AE98" t="s">
        <v>41</v>
      </c>
      <c r="AF98" t="s">
        <v>171</v>
      </c>
      <c r="AG98" t="s">
        <v>76</v>
      </c>
      <c r="AH98" t="s">
        <v>120</v>
      </c>
      <c r="AI98" t="s">
        <v>188</v>
      </c>
      <c r="AJ98" t="s">
        <v>41</v>
      </c>
      <c r="AK98" t="s">
        <v>200</v>
      </c>
    </row>
    <row r="99" spans="1:37" x14ac:dyDescent="0.25">
      <c r="A99" t="s">
        <v>790</v>
      </c>
      <c r="B99" t="str">
        <f t="shared" si="2"/>
        <v>2018</v>
      </c>
      <c r="C99" t="str">
        <f t="shared" si="3"/>
        <v>05</v>
      </c>
      <c r="D99" t="s">
        <v>791</v>
      </c>
      <c r="E99" t="s">
        <v>792</v>
      </c>
      <c r="F99" t="s">
        <v>762</v>
      </c>
      <c r="G99" t="s">
        <v>54</v>
      </c>
      <c r="H99">
        <v>0</v>
      </c>
      <c r="I99" t="s">
        <v>537</v>
      </c>
      <c r="J99">
        <v>0</v>
      </c>
      <c r="K99" t="s">
        <v>793</v>
      </c>
      <c r="L99" t="s">
        <v>451</v>
      </c>
      <c r="M99" t="s">
        <v>794</v>
      </c>
      <c r="N99">
        <v>0</v>
      </c>
      <c r="O99" t="s">
        <v>194</v>
      </c>
      <c r="P99" t="s">
        <v>292</v>
      </c>
      <c r="Q99" t="s">
        <v>447</v>
      </c>
      <c r="R99" t="s">
        <v>795</v>
      </c>
      <c r="S99" t="s">
        <v>55</v>
      </c>
      <c r="T99" t="s">
        <v>63</v>
      </c>
      <c r="U99" t="s">
        <v>352</v>
      </c>
      <c r="V99" t="s">
        <v>368</v>
      </c>
      <c r="W99" t="s">
        <v>103</v>
      </c>
      <c r="X99" t="s">
        <v>66</v>
      </c>
      <c r="Y99" t="s">
        <v>488</v>
      </c>
      <c r="Z99" t="s">
        <v>317</v>
      </c>
      <c r="AA99">
        <v>0</v>
      </c>
      <c r="AB99" t="s">
        <v>113</v>
      </c>
      <c r="AC99" t="s">
        <v>53</v>
      </c>
      <c r="AD99" t="s">
        <v>75</v>
      </c>
      <c r="AE99" t="s">
        <v>188</v>
      </c>
      <c r="AF99" t="s">
        <v>171</v>
      </c>
      <c r="AG99" t="s">
        <v>75</v>
      </c>
      <c r="AH99" t="s">
        <v>64</v>
      </c>
      <c r="AI99" t="s">
        <v>188</v>
      </c>
      <c r="AJ99" t="s">
        <v>119</v>
      </c>
      <c r="AK99" t="s">
        <v>611</v>
      </c>
    </row>
    <row r="100" spans="1:37" x14ac:dyDescent="0.25">
      <c r="A100" t="s">
        <v>796</v>
      </c>
      <c r="B100" t="str">
        <f t="shared" si="2"/>
        <v>2018</v>
      </c>
      <c r="C100" t="str">
        <f t="shared" si="3"/>
        <v>06</v>
      </c>
      <c r="D100" t="s">
        <v>797</v>
      </c>
      <c r="E100" t="s">
        <v>798</v>
      </c>
      <c r="F100" t="s">
        <v>799</v>
      </c>
      <c r="G100" t="s">
        <v>635</v>
      </c>
      <c r="H100">
        <v>0</v>
      </c>
      <c r="I100" t="s">
        <v>245</v>
      </c>
      <c r="J100">
        <v>0</v>
      </c>
      <c r="K100" t="s">
        <v>800</v>
      </c>
      <c r="L100" t="s">
        <v>569</v>
      </c>
      <c r="M100" t="s">
        <v>658</v>
      </c>
      <c r="N100">
        <v>0</v>
      </c>
      <c r="O100" t="s">
        <v>401</v>
      </c>
      <c r="P100" t="s">
        <v>127</v>
      </c>
      <c r="Q100" t="s">
        <v>271</v>
      </c>
      <c r="R100" t="s">
        <v>789</v>
      </c>
      <c r="S100" t="s">
        <v>44</v>
      </c>
      <c r="T100" t="s">
        <v>63</v>
      </c>
      <c r="U100" t="s">
        <v>195</v>
      </c>
      <c r="V100" t="s">
        <v>687</v>
      </c>
      <c r="W100" t="s">
        <v>103</v>
      </c>
      <c r="X100" t="s">
        <v>42</v>
      </c>
      <c r="Y100" t="s">
        <v>217</v>
      </c>
      <c r="Z100" t="s">
        <v>51</v>
      </c>
      <c r="AA100">
        <v>0</v>
      </c>
      <c r="AB100" t="s">
        <v>188</v>
      </c>
      <c r="AC100" t="s">
        <v>126</v>
      </c>
      <c r="AD100" t="s">
        <v>286</v>
      </c>
      <c r="AE100" t="s">
        <v>171</v>
      </c>
      <c r="AF100" t="s">
        <v>171</v>
      </c>
      <c r="AG100" t="s">
        <v>62</v>
      </c>
      <c r="AH100" t="s">
        <v>64</v>
      </c>
      <c r="AI100" t="s">
        <v>188</v>
      </c>
      <c r="AJ100" t="s">
        <v>120</v>
      </c>
      <c r="AK100" t="s">
        <v>801</v>
      </c>
    </row>
    <row r="101" spans="1:37" x14ac:dyDescent="0.25">
      <c r="A101" t="s">
        <v>802</v>
      </c>
      <c r="B101" t="str">
        <f t="shared" si="2"/>
        <v>2018</v>
      </c>
      <c r="C101" t="str">
        <f t="shared" si="3"/>
        <v>07</v>
      </c>
      <c r="D101" t="s">
        <v>803</v>
      </c>
      <c r="E101" t="s">
        <v>484</v>
      </c>
      <c r="F101" t="s">
        <v>804</v>
      </c>
      <c r="G101">
        <v>3</v>
      </c>
      <c r="H101">
        <v>0</v>
      </c>
      <c r="I101" t="s">
        <v>622</v>
      </c>
      <c r="J101">
        <v>0</v>
      </c>
      <c r="K101" t="s">
        <v>805</v>
      </c>
      <c r="L101" t="s">
        <v>133</v>
      </c>
      <c r="M101" t="s">
        <v>158</v>
      </c>
      <c r="N101">
        <v>0</v>
      </c>
      <c r="O101" t="s">
        <v>806</v>
      </c>
      <c r="P101" t="s">
        <v>299</v>
      </c>
      <c r="Q101" t="s">
        <v>270</v>
      </c>
      <c r="R101" t="s">
        <v>606</v>
      </c>
      <c r="S101" t="s">
        <v>286</v>
      </c>
      <c r="T101" t="s">
        <v>63</v>
      </c>
      <c r="U101" t="s">
        <v>207</v>
      </c>
      <c r="V101" t="s">
        <v>226</v>
      </c>
      <c r="W101" t="s">
        <v>207</v>
      </c>
      <c r="X101" t="s">
        <v>286</v>
      </c>
      <c r="Y101" t="s">
        <v>596</v>
      </c>
      <c r="Z101" t="s">
        <v>107</v>
      </c>
      <c r="AA101">
        <v>0</v>
      </c>
      <c r="AB101" t="s">
        <v>52</v>
      </c>
      <c r="AC101" t="s">
        <v>53</v>
      </c>
      <c r="AD101" t="s">
        <v>62</v>
      </c>
      <c r="AE101" t="s">
        <v>188</v>
      </c>
      <c r="AF101" t="s">
        <v>64</v>
      </c>
      <c r="AG101" t="s">
        <v>88</v>
      </c>
      <c r="AH101" t="s">
        <v>88</v>
      </c>
      <c r="AI101" t="s">
        <v>171</v>
      </c>
      <c r="AJ101" t="s">
        <v>88</v>
      </c>
      <c r="AK101" t="s">
        <v>807</v>
      </c>
    </row>
    <row r="102" spans="1:37" x14ac:dyDescent="0.25">
      <c r="A102" t="s">
        <v>808</v>
      </c>
      <c r="B102" t="str">
        <f t="shared" si="2"/>
        <v>2018</v>
      </c>
      <c r="C102" t="str">
        <f t="shared" si="3"/>
        <v>08</v>
      </c>
      <c r="D102">
        <v>37</v>
      </c>
      <c r="E102" t="s">
        <v>809</v>
      </c>
      <c r="F102" t="s">
        <v>810</v>
      </c>
      <c r="G102" t="s">
        <v>811</v>
      </c>
      <c r="H102">
        <v>0</v>
      </c>
      <c r="I102" t="s">
        <v>239</v>
      </c>
      <c r="J102">
        <v>0</v>
      </c>
      <c r="K102" t="s">
        <v>735</v>
      </c>
      <c r="L102" t="s">
        <v>812</v>
      </c>
      <c r="M102" t="s">
        <v>813</v>
      </c>
      <c r="N102">
        <v>0</v>
      </c>
      <c r="O102" t="s">
        <v>687</v>
      </c>
      <c r="P102" t="s">
        <v>329</v>
      </c>
      <c r="Q102" t="s">
        <v>225</v>
      </c>
      <c r="R102" t="s">
        <v>375</v>
      </c>
      <c r="S102" t="s">
        <v>193</v>
      </c>
      <c r="T102" t="s">
        <v>113</v>
      </c>
      <c r="U102" t="s">
        <v>435</v>
      </c>
      <c r="V102" t="s">
        <v>778</v>
      </c>
      <c r="W102" t="s">
        <v>62</v>
      </c>
      <c r="X102" t="s">
        <v>90</v>
      </c>
      <c r="Y102" t="s">
        <v>578</v>
      </c>
      <c r="Z102" t="s">
        <v>128</v>
      </c>
      <c r="AA102">
        <v>0</v>
      </c>
      <c r="AB102" t="s">
        <v>171</v>
      </c>
      <c r="AC102" t="s">
        <v>56</v>
      </c>
      <c r="AD102" t="s">
        <v>126</v>
      </c>
      <c r="AE102" t="s">
        <v>52</v>
      </c>
      <c r="AF102" t="s">
        <v>91</v>
      </c>
      <c r="AG102" t="s">
        <v>64</v>
      </c>
      <c r="AH102" t="s">
        <v>128</v>
      </c>
      <c r="AI102" t="s">
        <v>119</v>
      </c>
      <c r="AJ102" t="s">
        <v>64</v>
      </c>
      <c r="AK102" t="s">
        <v>814</v>
      </c>
    </row>
    <row r="103" spans="1:37" x14ac:dyDescent="0.25">
      <c r="A103" t="s">
        <v>815</v>
      </c>
      <c r="B103" t="str">
        <f t="shared" si="2"/>
        <v>2018</v>
      </c>
      <c r="C103" t="str">
        <f t="shared" si="3"/>
        <v>09</v>
      </c>
      <c r="D103" t="s">
        <v>816</v>
      </c>
      <c r="E103" t="s">
        <v>817</v>
      </c>
      <c r="F103" t="s">
        <v>774</v>
      </c>
      <c r="G103" t="s">
        <v>818</v>
      </c>
      <c r="H103">
        <v>0</v>
      </c>
      <c r="I103" t="s">
        <v>498</v>
      </c>
      <c r="J103">
        <v>0</v>
      </c>
      <c r="K103" t="s">
        <v>819</v>
      </c>
      <c r="L103" t="s">
        <v>530</v>
      </c>
      <c r="M103" t="s">
        <v>820</v>
      </c>
      <c r="N103">
        <v>0</v>
      </c>
      <c r="O103" t="s">
        <v>386</v>
      </c>
      <c r="P103" t="s">
        <v>821</v>
      </c>
      <c r="Q103" t="s">
        <v>801</v>
      </c>
      <c r="R103" t="s">
        <v>578</v>
      </c>
      <c r="S103" t="s">
        <v>435</v>
      </c>
      <c r="T103" t="s">
        <v>52</v>
      </c>
      <c r="U103" t="s">
        <v>42</v>
      </c>
      <c r="V103" t="s">
        <v>193</v>
      </c>
      <c r="W103" t="s">
        <v>316</v>
      </c>
      <c r="X103" t="s">
        <v>45</v>
      </c>
      <c r="Y103" t="s">
        <v>578</v>
      </c>
      <c r="Z103" t="s">
        <v>104</v>
      </c>
      <c r="AA103">
        <v>0</v>
      </c>
      <c r="AB103" t="s">
        <v>120</v>
      </c>
      <c r="AC103" t="s">
        <v>64</v>
      </c>
      <c r="AD103" t="s">
        <v>126</v>
      </c>
      <c r="AE103" t="s">
        <v>119</v>
      </c>
      <c r="AF103" t="s">
        <v>171</v>
      </c>
      <c r="AG103" t="s">
        <v>64</v>
      </c>
      <c r="AH103" t="s">
        <v>104</v>
      </c>
      <c r="AI103" t="s">
        <v>41</v>
      </c>
      <c r="AJ103" t="s">
        <v>120</v>
      </c>
      <c r="AK103" t="s">
        <v>432</v>
      </c>
    </row>
    <row r="104" spans="1:37" x14ac:dyDescent="0.25">
      <c r="A104" t="s">
        <v>822</v>
      </c>
      <c r="B104" t="str">
        <f t="shared" si="2"/>
        <v>2018</v>
      </c>
      <c r="C104" t="str">
        <f t="shared" si="3"/>
        <v>10</v>
      </c>
      <c r="D104" t="s">
        <v>823</v>
      </c>
      <c r="E104" t="s">
        <v>824</v>
      </c>
      <c r="F104" t="s">
        <v>825</v>
      </c>
      <c r="G104" t="s">
        <v>826</v>
      </c>
      <c r="H104">
        <v>0</v>
      </c>
      <c r="I104" t="s">
        <v>425</v>
      </c>
      <c r="J104">
        <v>0</v>
      </c>
      <c r="K104" t="s">
        <v>827</v>
      </c>
      <c r="L104" t="s">
        <v>512</v>
      </c>
      <c r="M104" t="s">
        <v>366</v>
      </c>
      <c r="N104">
        <v>0</v>
      </c>
      <c r="O104" t="s">
        <v>828</v>
      </c>
      <c r="P104" t="s">
        <v>164</v>
      </c>
      <c r="Q104" t="s">
        <v>829</v>
      </c>
      <c r="R104" t="s">
        <v>517</v>
      </c>
      <c r="S104" t="s">
        <v>185</v>
      </c>
      <c r="T104" t="s">
        <v>113</v>
      </c>
      <c r="U104" t="s">
        <v>91</v>
      </c>
      <c r="V104" t="s">
        <v>55</v>
      </c>
      <c r="W104" t="s">
        <v>257</v>
      </c>
      <c r="X104" t="s">
        <v>51</v>
      </c>
      <c r="Y104" t="s">
        <v>256</v>
      </c>
      <c r="Z104" t="s">
        <v>104</v>
      </c>
      <c r="AA104">
        <v>0</v>
      </c>
      <c r="AB104" t="s">
        <v>152</v>
      </c>
      <c r="AC104" t="s">
        <v>171</v>
      </c>
      <c r="AD104" t="s">
        <v>126</v>
      </c>
      <c r="AE104" t="s">
        <v>171</v>
      </c>
      <c r="AF104" t="s">
        <v>52</v>
      </c>
      <c r="AG104" t="s">
        <v>52</v>
      </c>
      <c r="AH104" t="s">
        <v>120</v>
      </c>
      <c r="AI104" t="s">
        <v>41</v>
      </c>
      <c r="AJ104" t="s">
        <v>120</v>
      </c>
      <c r="AK104" t="s">
        <v>424</v>
      </c>
    </row>
    <row r="105" spans="1:37" x14ac:dyDescent="0.25">
      <c r="A105" t="s">
        <v>830</v>
      </c>
      <c r="B105" t="str">
        <f t="shared" si="2"/>
        <v>2018</v>
      </c>
      <c r="C105" t="str">
        <f t="shared" si="3"/>
        <v>11</v>
      </c>
      <c r="D105" t="s">
        <v>831</v>
      </c>
      <c r="E105" t="s">
        <v>832</v>
      </c>
      <c r="F105" t="s">
        <v>313</v>
      </c>
      <c r="G105" t="s">
        <v>833</v>
      </c>
      <c r="H105">
        <v>0</v>
      </c>
      <c r="I105" t="s">
        <v>820</v>
      </c>
      <c r="J105">
        <v>0</v>
      </c>
      <c r="K105" t="s">
        <v>834</v>
      </c>
      <c r="L105" t="s">
        <v>247</v>
      </c>
      <c r="M105" t="s">
        <v>308</v>
      </c>
      <c r="N105">
        <v>0</v>
      </c>
      <c r="O105" t="s">
        <v>660</v>
      </c>
      <c r="P105" t="s">
        <v>578</v>
      </c>
      <c r="Q105" t="s">
        <v>633</v>
      </c>
      <c r="R105" t="s">
        <v>667</v>
      </c>
      <c r="S105" t="s">
        <v>193</v>
      </c>
      <c r="T105" t="s">
        <v>113</v>
      </c>
      <c r="U105" t="s">
        <v>53</v>
      </c>
      <c r="V105" t="s">
        <v>242</v>
      </c>
      <c r="W105" t="s">
        <v>56</v>
      </c>
      <c r="X105" t="s">
        <v>103</v>
      </c>
      <c r="Y105" t="s">
        <v>835</v>
      </c>
      <c r="Z105" t="s">
        <v>119</v>
      </c>
      <c r="AA105">
        <v>0</v>
      </c>
      <c r="AB105" t="s">
        <v>104</v>
      </c>
      <c r="AC105" t="s">
        <v>216</v>
      </c>
      <c r="AD105" t="s">
        <v>378</v>
      </c>
      <c r="AE105" t="s">
        <v>52</v>
      </c>
      <c r="AF105" t="s">
        <v>171</v>
      </c>
      <c r="AG105" t="s">
        <v>113</v>
      </c>
      <c r="AH105" t="s">
        <v>216</v>
      </c>
      <c r="AI105" t="s">
        <v>216</v>
      </c>
      <c r="AJ105" t="s">
        <v>120</v>
      </c>
      <c r="AK105" t="s">
        <v>293</v>
      </c>
    </row>
    <row r="106" spans="1:37" x14ac:dyDescent="0.25">
      <c r="A106" t="s">
        <v>836</v>
      </c>
      <c r="B106" t="str">
        <f t="shared" si="2"/>
        <v>2018</v>
      </c>
      <c r="C106" t="str">
        <f t="shared" si="3"/>
        <v>12</v>
      </c>
      <c r="D106" t="s">
        <v>837</v>
      </c>
      <c r="E106" t="s">
        <v>838</v>
      </c>
      <c r="F106" t="s">
        <v>839</v>
      </c>
      <c r="G106" t="s">
        <v>840</v>
      </c>
      <c r="H106">
        <v>0</v>
      </c>
      <c r="I106" t="s">
        <v>651</v>
      </c>
      <c r="J106">
        <v>0</v>
      </c>
      <c r="K106" t="s">
        <v>841</v>
      </c>
      <c r="L106" t="s">
        <v>468</v>
      </c>
      <c r="M106" t="s">
        <v>842</v>
      </c>
      <c r="N106">
        <v>0</v>
      </c>
      <c r="O106" t="s">
        <v>829</v>
      </c>
      <c r="P106" t="s">
        <v>611</v>
      </c>
      <c r="Q106" t="s">
        <v>807</v>
      </c>
      <c r="R106" t="s">
        <v>843</v>
      </c>
      <c r="S106" t="s">
        <v>224</v>
      </c>
      <c r="T106" t="s">
        <v>113</v>
      </c>
      <c r="U106" t="s">
        <v>126</v>
      </c>
      <c r="V106" t="s">
        <v>435</v>
      </c>
      <c r="W106" t="s">
        <v>66</v>
      </c>
      <c r="X106" t="s">
        <v>378</v>
      </c>
      <c r="Y106" t="s">
        <v>844</v>
      </c>
      <c r="Z106" t="s">
        <v>216</v>
      </c>
      <c r="AA106">
        <v>0</v>
      </c>
      <c r="AB106" t="s">
        <v>107</v>
      </c>
      <c r="AC106" t="s">
        <v>188</v>
      </c>
      <c r="AD106" t="s">
        <v>53</v>
      </c>
      <c r="AE106" t="s">
        <v>120</v>
      </c>
      <c r="AF106" t="s">
        <v>216</v>
      </c>
      <c r="AG106" t="s">
        <v>63</v>
      </c>
      <c r="AH106" t="s">
        <v>188</v>
      </c>
      <c r="AI106" t="s">
        <v>188</v>
      </c>
      <c r="AJ106" t="s">
        <v>41</v>
      </c>
      <c r="AK106" t="s">
        <v>316</v>
      </c>
    </row>
    <row r="107" spans="1:37" x14ac:dyDescent="0.25">
      <c r="A107" t="s">
        <v>845</v>
      </c>
      <c r="B107" t="str">
        <f t="shared" si="2"/>
        <v>2019</v>
      </c>
      <c r="C107" t="str">
        <f t="shared" si="3"/>
        <v>01</v>
      </c>
      <c r="D107" t="s">
        <v>846</v>
      </c>
      <c r="E107" t="s">
        <v>847</v>
      </c>
      <c r="F107" t="s">
        <v>848</v>
      </c>
      <c r="G107" t="s">
        <v>849</v>
      </c>
      <c r="H107">
        <v>0</v>
      </c>
      <c r="I107" t="s">
        <v>604</v>
      </c>
      <c r="J107">
        <v>0</v>
      </c>
      <c r="K107" t="s">
        <v>850</v>
      </c>
      <c r="L107" t="s">
        <v>426</v>
      </c>
      <c r="M107" t="s">
        <v>801</v>
      </c>
      <c r="N107">
        <v>0</v>
      </c>
      <c r="O107" t="s">
        <v>385</v>
      </c>
      <c r="P107" t="s">
        <v>752</v>
      </c>
      <c r="Q107" t="s">
        <v>360</v>
      </c>
      <c r="R107" t="s">
        <v>195</v>
      </c>
      <c r="S107" t="s">
        <v>507</v>
      </c>
      <c r="T107" t="s">
        <v>113</v>
      </c>
      <c r="U107" t="s">
        <v>62</v>
      </c>
      <c r="V107" t="s">
        <v>249</v>
      </c>
      <c r="W107" t="s">
        <v>152</v>
      </c>
      <c r="X107" t="s">
        <v>242</v>
      </c>
      <c r="Y107" t="s">
        <v>851</v>
      </c>
      <c r="Z107" t="s">
        <v>171</v>
      </c>
      <c r="AA107">
        <v>0</v>
      </c>
      <c r="AB107" t="s">
        <v>104</v>
      </c>
      <c r="AC107" t="s">
        <v>171</v>
      </c>
      <c r="AD107" t="s">
        <v>53</v>
      </c>
      <c r="AE107" t="s">
        <v>91</v>
      </c>
      <c r="AF107" t="s">
        <v>216</v>
      </c>
      <c r="AG107" t="s">
        <v>63</v>
      </c>
      <c r="AH107" t="s">
        <v>216</v>
      </c>
      <c r="AI107" t="s">
        <v>171</v>
      </c>
      <c r="AJ107" t="s">
        <v>119</v>
      </c>
      <c r="AK107" t="s">
        <v>385</v>
      </c>
    </row>
    <row r="108" spans="1:37" x14ac:dyDescent="0.25">
      <c r="A108" t="s">
        <v>852</v>
      </c>
      <c r="B108" t="str">
        <f t="shared" si="2"/>
        <v>2019</v>
      </c>
      <c r="C108" t="str">
        <f t="shared" si="3"/>
        <v>02</v>
      </c>
      <c r="D108" t="s">
        <v>853</v>
      </c>
      <c r="E108" t="s">
        <v>854</v>
      </c>
      <c r="F108" t="s">
        <v>855</v>
      </c>
      <c r="G108" t="s">
        <v>856</v>
      </c>
      <c r="H108">
        <v>0</v>
      </c>
      <c r="I108" t="s">
        <v>425</v>
      </c>
      <c r="J108">
        <v>0</v>
      </c>
      <c r="K108" t="s">
        <v>857</v>
      </c>
      <c r="L108" t="s">
        <v>858</v>
      </c>
      <c r="M108" t="s">
        <v>385</v>
      </c>
      <c r="N108">
        <v>0</v>
      </c>
      <c r="O108" t="s">
        <v>432</v>
      </c>
      <c r="P108" t="s">
        <v>185</v>
      </c>
      <c r="Q108" t="s">
        <v>421</v>
      </c>
      <c r="R108" t="s">
        <v>752</v>
      </c>
      <c r="S108" t="s">
        <v>353</v>
      </c>
      <c r="T108" t="s">
        <v>63</v>
      </c>
      <c r="U108" t="s">
        <v>91</v>
      </c>
      <c r="V108" t="s">
        <v>317</v>
      </c>
      <c r="W108" t="s">
        <v>152</v>
      </c>
      <c r="X108" t="s">
        <v>103</v>
      </c>
      <c r="Y108" t="s">
        <v>642</v>
      </c>
      <c r="Z108" t="s">
        <v>188</v>
      </c>
      <c r="AA108">
        <v>0</v>
      </c>
      <c r="AB108" t="s">
        <v>88</v>
      </c>
      <c r="AC108" t="s">
        <v>216</v>
      </c>
      <c r="AD108" t="s">
        <v>106</v>
      </c>
      <c r="AE108" t="s">
        <v>113</v>
      </c>
      <c r="AF108" t="s">
        <v>113</v>
      </c>
      <c r="AG108" t="s">
        <v>63</v>
      </c>
      <c r="AH108" t="s">
        <v>52</v>
      </c>
      <c r="AI108" t="s">
        <v>188</v>
      </c>
      <c r="AJ108" t="s">
        <v>119</v>
      </c>
      <c r="AK108" t="s">
        <v>286</v>
      </c>
    </row>
    <row r="109" spans="1:37" x14ac:dyDescent="0.25">
      <c r="A109" t="s">
        <v>859</v>
      </c>
      <c r="B109" t="str">
        <f t="shared" si="2"/>
        <v>2019</v>
      </c>
      <c r="C109" t="str">
        <f t="shared" si="3"/>
        <v>03</v>
      </c>
      <c r="D109" t="s">
        <v>439</v>
      </c>
      <c r="E109" t="s">
        <v>860</v>
      </c>
      <c r="F109" t="s">
        <v>839</v>
      </c>
      <c r="G109" t="s">
        <v>849</v>
      </c>
      <c r="H109">
        <v>0</v>
      </c>
      <c r="I109" t="s">
        <v>526</v>
      </c>
      <c r="J109">
        <v>0</v>
      </c>
      <c r="K109" t="s">
        <v>861</v>
      </c>
      <c r="L109" t="s">
        <v>777</v>
      </c>
      <c r="M109" t="s">
        <v>451</v>
      </c>
      <c r="N109">
        <v>0</v>
      </c>
      <c r="O109" t="s">
        <v>432</v>
      </c>
      <c r="P109" t="s">
        <v>450</v>
      </c>
      <c r="Q109" t="s">
        <v>778</v>
      </c>
      <c r="R109" t="s">
        <v>421</v>
      </c>
      <c r="S109" t="s">
        <v>300</v>
      </c>
      <c r="T109" t="s">
        <v>113</v>
      </c>
      <c r="U109" t="s">
        <v>88</v>
      </c>
      <c r="V109" t="s">
        <v>224</v>
      </c>
      <c r="W109" t="s">
        <v>51</v>
      </c>
      <c r="X109" t="s">
        <v>56</v>
      </c>
      <c r="Y109" t="s">
        <v>442</v>
      </c>
      <c r="Z109" t="s">
        <v>171</v>
      </c>
      <c r="AA109">
        <v>0</v>
      </c>
      <c r="AB109" t="s">
        <v>91</v>
      </c>
      <c r="AC109" t="s">
        <v>216</v>
      </c>
      <c r="AD109" t="s">
        <v>51</v>
      </c>
      <c r="AE109" t="s">
        <v>52</v>
      </c>
      <c r="AF109" t="s">
        <v>113</v>
      </c>
      <c r="AG109" t="s">
        <v>52</v>
      </c>
      <c r="AH109" t="s">
        <v>171</v>
      </c>
      <c r="AI109" t="s">
        <v>104</v>
      </c>
      <c r="AJ109" t="s">
        <v>171</v>
      </c>
      <c r="AK109" t="s">
        <v>234</v>
      </c>
    </row>
    <row r="110" spans="1:37" x14ac:dyDescent="0.25">
      <c r="A110" t="s">
        <v>862</v>
      </c>
      <c r="B110" t="str">
        <f t="shared" si="2"/>
        <v>2019</v>
      </c>
      <c r="C110" t="str">
        <f t="shared" si="3"/>
        <v>04</v>
      </c>
      <c r="D110" t="s">
        <v>620</v>
      </c>
      <c r="E110" t="s">
        <v>863</v>
      </c>
      <c r="F110" t="s">
        <v>864</v>
      </c>
      <c r="G110" t="s">
        <v>722</v>
      </c>
      <c r="H110">
        <v>0</v>
      </c>
      <c r="I110" t="s">
        <v>820</v>
      </c>
      <c r="J110">
        <v>0</v>
      </c>
      <c r="K110" t="s">
        <v>521</v>
      </c>
      <c r="L110" t="s">
        <v>865</v>
      </c>
      <c r="M110" t="s">
        <v>409</v>
      </c>
      <c r="N110">
        <v>0</v>
      </c>
      <c r="O110" t="s">
        <v>814</v>
      </c>
      <c r="P110" t="s">
        <v>225</v>
      </c>
      <c r="Q110" t="s">
        <v>240</v>
      </c>
      <c r="R110" t="s">
        <v>432</v>
      </c>
      <c r="S110" t="s">
        <v>193</v>
      </c>
      <c r="T110" t="s">
        <v>52</v>
      </c>
      <c r="U110" t="s">
        <v>104</v>
      </c>
      <c r="V110" t="s">
        <v>286</v>
      </c>
      <c r="W110" t="s">
        <v>51</v>
      </c>
      <c r="X110" t="s">
        <v>378</v>
      </c>
      <c r="Y110" t="s">
        <v>687</v>
      </c>
      <c r="Z110" t="s">
        <v>171</v>
      </c>
      <c r="AA110">
        <v>0</v>
      </c>
      <c r="AB110" t="s">
        <v>73</v>
      </c>
      <c r="AC110" t="s">
        <v>119</v>
      </c>
      <c r="AD110" t="s">
        <v>126</v>
      </c>
      <c r="AE110" t="s">
        <v>188</v>
      </c>
      <c r="AF110" t="s">
        <v>113</v>
      </c>
      <c r="AG110" t="s">
        <v>188</v>
      </c>
      <c r="AH110" t="s">
        <v>171</v>
      </c>
      <c r="AI110" t="s">
        <v>128</v>
      </c>
      <c r="AJ110" t="s">
        <v>216</v>
      </c>
      <c r="AK110" t="s">
        <v>234</v>
      </c>
    </row>
    <row r="111" spans="1:37" x14ac:dyDescent="0.25">
      <c r="A111" t="s">
        <v>866</v>
      </c>
      <c r="B111" t="str">
        <f t="shared" si="2"/>
        <v>2019</v>
      </c>
      <c r="C111" t="str">
        <f t="shared" si="3"/>
        <v>05</v>
      </c>
      <c r="D111" t="s">
        <v>867</v>
      </c>
      <c r="E111" t="s">
        <v>854</v>
      </c>
      <c r="F111" t="s">
        <v>868</v>
      </c>
      <c r="G111" t="s">
        <v>722</v>
      </c>
      <c r="H111">
        <v>0</v>
      </c>
      <c r="I111" t="s">
        <v>537</v>
      </c>
      <c r="J111">
        <v>0</v>
      </c>
      <c r="K111" t="s">
        <v>869</v>
      </c>
      <c r="L111" t="s">
        <v>587</v>
      </c>
      <c r="M111" t="s">
        <v>736</v>
      </c>
      <c r="N111">
        <v>0</v>
      </c>
      <c r="O111" t="s">
        <v>421</v>
      </c>
      <c r="P111" t="s">
        <v>612</v>
      </c>
      <c r="Q111" t="s">
        <v>533</v>
      </c>
      <c r="R111" t="s">
        <v>249</v>
      </c>
      <c r="S111" t="s">
        <v>195</v>
      </c>
      <c r="T111" t="s">
        <v>188</v>
      </c>
      <c r="U111" t="s">
        <v>64</v>
      </c>
      <c r="V111" t="s">
        <v>241</v>
      </c>
      <c r="W111" t="s">
        <v>103</v>
      </c>
      <c r="X111" t="s">
        <v>42</v>
      </c>
      <c r="Y111" t="s">
        <v>844</v>
      </c>
      <c r="Z111" t="s">
        <v>119</v>
      </c>
      <c r="AA111">
        <v>0</v>
      </c>
      <c r="AB111" t="s">
        <v>107</v>
      </c>
      <c r="AC111" t="s">
        <v>188</v>
      </c>
      <c r="AD111" t="s">
        <v>126</v>
      </c>
      <c r="AE111" t="s">
        <v>216</v>
      </c>
      <c r="AF111" t="s">
        <v>113</v>
      </c>
      <c r="AG111" t="s">
        <v>188</v>
      </c>
      <c r="AH111" t="s">
        <v>119</v>
      </c>
      <c r="AI111" t="s">
        <v>104</v>
      </c>
      <c r="AJ111" t="s">
        <v>216</v>
      </c>
      <c r="AK111" t="s">
        <v>369</v>
      </c>
    </row>
    <row r="112" spans="1:37" x14ac:dyDescent="0.25">
      <c r="A112" t="s">
        <v>870</v>
      </c>
      <c r="B112" t="str">
        <f t="shared" si="2"/>
        <v>2019</v>
      </c>
      <c r="C112" t="str">
        <f t="shared" si="3"/>
        <v>06</v>
      </c>
      <c r="D112" t="s">
        <v>357</v>
      </c>
      <c r="E112" t="s">
        <v>871</v>
      </c>
      <c r="F112" t="s">
        <v>872</v>
      </c>
      <c r="G112" t="s">
        <v>664</v>
      </c>
      <c r="H112">
        <v>0</v>
      </c>
      <c r="I112" t="s">
        <v>604</v>
      </c>
      <c r="J112">
        <v>0</v>
      </c>
      <c r="K112" t="s">
        <v>873</v>
      </c>
      <c r="L112" t="s">
        <v>468</v>
      </c>
      <c r="M112" t="s">
        <v>874</v>
      </c>
      <c r="N112">
        <v>0</v>
      </c>
      <c r="O112" t="s">
        <v>195</v>
      </c>
      <c r="P112" t="s">
        <v>844</v>
      </c>
      <c r="Q112" t="s">
        <v>477</v>
      </c>
      <c r="R112" t="s">
        <v>477</v>
      </c>
      <c r="S112" t="s">
        <v>55</v>
      </c>
      <c r="T112" t="s">
        <v>113</v>
      </c>
      <c r="U112" t="s">
        <v>91</v>
      </c>
      <c r="V112" t="s">
        <v>76</v>
      </c>
      <c r="W112" t="s">
        <v>257</v>
      </c>
      <c r="X112" t="s">
        <v>51</v>
      </c>
      <c r="Y112" t="s">
        <v>456</v>
      </c>
      <c r="Z112" t="s">
        <v>119</v>
      </c>
      <c r="AA112" t="s">
        <v>63</v>
      </c>
      <c r="AB112" t="s">
        <v>73</v>
      </c>
      <c r="AC112" t="s">
        <v>188</v>
      </c>
      <c r="AD112" t="s">
        <v>76</v>
      </c>
      <c r="AE112" t="s">
        <v>113</v>
      </c>
      <c r="AF112" t="s">
        <v>113</v>
      </c>
      <c r="AG112" t="s">
        <v>188</v>
      </c>
      <c r="AH112" t="s">
        <v>41</v>
      </c>
      <c r="AI112" t="s">
        <v>120</v>
      </c>
      <c r="AJ112" t="s">
        <v>216</v>
      </c>
      <c r="AK112" t="s">
        <v>353</v>
      </c>
    </row>
    <row r="113" spans="1:37" x14ac:dyDescent="0.25">
      <c r="A113" t="s">
        <v>875</v>
      </c>
      <c r="B113" t="str">
        <f t="shared" si="2"/>
        <v>2019</v>
      </c>
      <c r="C113" t="str">
        <f t="shared" si="3"/>
        <v>07</v>
      </c>
      <c r="D113" t="s">
        <v>876</v>
      </c>
      <c r="E113" t="s">
        <v>877</v>
      </c>
      <c r="F113" t="s">
        <v>878</v>
      </c>
      <c r="G113" t="s">
        <v>879</v>
      </c>
      <c r="H113">
        <v>0</v>
      </c>
      <c r="I113" t="s">
        <v>651</v>
      </c>
      <c r="J113">
        <v>0</v>
      </c>
      <c r="K113" t="s">
        <v>880</v>
      </c>
      <c r="L113" t="s">
        <v>133</v>
      </c>
      <c r="M113" t="s">
        <v>329</v>
      </c>
      <c r="N113">
        <v>0</v>
      </c>
      <c r="O113" t="s">
        <v>240</v>
      </c>
      <c r="P113" t="s">
        <v>200</v>
      </c>
      <c r="Q113" t="s">
        <v>424</v>
      </c>
      <c r="R113" t="s">
        <v>778</v>
      </c>
      <c r="S113" t="s">
        <v>286</v>
      </c>
      <c r="T113" t="s">
        <v>63</v>
      </c>
      <c r="U113" t="s">
        <v>104</v>
      </c>
      <c r="V113" t="s">
        <v>75</v>
      </c>
      <c r="W113" t="s">
        <v>90</v>
      </c>
      <c r="X113" t="s">
        <v>56</v>
      </c>
      <c r="Y113" t="s">
        <v>835</v>
      </c>
      <c r="Z113" t="s">
        <v>171</v>
      </c>
      <c r="AA113">
        <v>0</v>
      </c>
      <c r="AB113" t="s">
        <v>107</v>
      </c>
      <c r="AC113" t="s">
        <v>52</v>
      </c>
      <c r="AD113" t="s">
        <v>53</v>
      </c>
      <c r="AE113" t="s">
        <v>63</v>
      </c>
      <c r="AF113" t="s">
        <v>113</v>
      </c>
      <c r="AG113" t="s">
        <v>188</v>
      </c>
      <c r="AH113" t="s">
        <v>171</v>
      </c>
      <c r="AI113" t="s">
        <v>120</v>
      </c>
      <c r="AJ113" t="s">
        <v>171</v>
      </c>
      <c r="AK113" t="s">
        <v>300</v>
      </c>
    </row>
    <row r="114" spans="1:37" x14ac:dyDescent="0.25">
      <c r="A114" t="s">
        <v>881</v>
      </c>
      <c r="B114" t="str">
        <f t="shared" si="2"/>
        <v>2019</v>
      </c>
      <c r="C114" t="str">
        <f t="shared" si="3"/>
        <v>08</v>
      </c>
      <c r="D114" t="s">
        <v>882</v>
      </c>
      <c r="E114" t="s">
        <v>355</v>
      </c>
      <c r="F114" t="s">
        <v>883</v>
      </c>
      <c r="G114" t="s">
        <v>884</v>
      </c>
      <c r="H114" t="s">
        <v>113</v>
      </c>
      <c r="I114" t="s">
        <v>376</v>
      </c>
      <c r="J114" t="s">
        <v>152</v>
      </c>
      <c r="K114" t="s">
        <v>705</v>
      </c>
      <c r="L114" t="s">
        <v>512</v>
      </c>
      <c r="M114" t="s">
        <v>223</v>
      </c>
      <c r="N114">
        <v>0</v>
      </c>
      <c r="O114" t="s">
        <v>249</v>
      </c>
      <c r="P114" t="s">
        <v>633</v>
      </c>
      <c r="Q114" t="s">
        <v>242</v>
      </c>
      <c r="R114" t="s">
        <v>224</v>
      </c>
      <c r="S114" t="s">
        <v>316</v>
      </c>
      <c r="T114" t="s">
        <v>113</v>
      </c>
      <c r="U114" t="s">
        <v>64</v>
      </c>
      <c r="V114" t="s">
        <v>75</v>
      </c>
      <c r="W114" t="s">
        <v>126</v>
      </c>
      <c r="X114" t="s">
        <v>56</v>
      </c>
      <c r="Y114" t="s">
        <v>606</v>
      </c>
      <c r="Z114" t="s">
        <v>216</v>
      </c>
      <c r="AA114">
        <v>0</v>
      </c>
      <c r="AB114" t="s">
        <v>53</v>
      </c>
      <c r="AC114" t="s">
        <v>113</v>
      </c>
      <c r="AD114" t="s">
        <v>42</v>
      </c>
      <c r="AE114" t="s">
        <v>113</v>
      </c>
      <c r="AF114" t="s">
        <v>188</v>
      </c>
      <c r="AG114" t="s">
        <v>52</v>
      </c>
      <c r="AH114" t="s">
        <v>52</v>
      </c>
      <c r="AI114" t="s">
        <v>64</v>
      </c>
      <c r="AJ114" t="s">
        <v>188</v>
      </c>
      <c r="AK114" t="s">
        <v>62</v>
      </c>
    </row>
    <row r="115" spans="1:37" x14ac:dyDescent="0.25">
      <c r="A115" t="s">
        <v>885</v>
      </c>
      <c r="B115" t="str">
        <f t="shared" si="2"/>
        <v>2019</v>
      </c>
      <c r="C115" t="str">
        <f t="shared" si="3"/>
        <v>09</v>
      </c>
      <c r="D115" t="s">
        <v>886</v>
      </c>
      <c r="E115" t="s">
        <v>887</v>
      </c>
      <c r="F115" t="s">
        <v>888</v>
      </c>
      <c r="G115" t="s">
        <v>889</v>
      </c>
      <c r="H115" t="s">
        <v>113</v>
      </c>
      <c r="I115" t="s">
        <v>74</v>
      </c>
      <c r="J115" t="s">
        <v>378</v>
      </c>
      <c r="K115" t="s">
        <v>618</v>
      </c>
      <c r="L115" t="s">
        <v>890</v>
      </c>
      <c r="M115" t="s">
        <v>170</v>
      </c>
      <c r="N115">
        <v>0</v>
      </c>
      <c r="O115" t="s">
        <v>778</v>
      </c>
      <c r="P115" t="s">
        <v>578</v>
      </c>
      <c r="Q115" t="s">
        <v>432</v>
      </c>
      <c r="R115" t="s">
        <v>369</v>
      </c>
      <c r="S115" t="s">
        <v>217</v>
      </c>
      <c r="T115" t="s">
        <v>113</v>
      </c>
      <c r="U115" t="s">
        <v>120</v>
      </c>
      <c r="V115" t="s">
        <v>76</v>
      </c>
      <c r="W115" t="s">
        <v>126</v>
      </c>
      <c r="X115" t="s">
        <v>106</v>
      </c>
      <c r="Y115" t="s">
        <v>194</v>
      </c>
      <c r="Z115" t="s">
        <v>216</v>
      </c>
      <c r="AA115">
        <v>0</v>
      </c>
      <c r="AB115" t="s">
        <v>152</v>
      </c>
      <c r="AC115" t="s">
        <v>52</v>
      </c>
      <c r="AD115" t="s">
        <v>91</v>
      </c>
      <c r="AE115" t="s">
        <v>113</v>
      </c>
      <c r="AF115" t="s">
        <v>216</v>
      </c>
      <c r="AG115" t="s">
        <v>188</v>
      </c>
      <c r="AH115" t="s">
        <v>52</v>
      </c>
      <c r="AI115" t="s">
        <v>104</v>
      </c>
      <c r="AJ115" t="s">
        <v>188</v>
      </c>
      <c r="AK115" t="s">
        <v>257</v>
      </c>
    </row>
    <row r="116" spans="1:37" x14ac:dyDescent="0.25">
      <c r="A116" t="s">
        <v>891</v>
      </c>
      <c r="B116" t="str">
        <f t="shared" si="2"/>
        <v>2019</v>
      </c>
      <c r="C116" t="str">
        <f t="shared" si="3"/>
        <v>10</v>
      </c>
      <c r="D116" t="s">
        <v>892</v>
      </c>
      <c r="E116" t="s">
        <v>893</v>
      </c>
      <c r="F116" t="s">
        <v>894</v>
      </c>
      <c r="G116" t="s">
        <v>895</v>
      </c>
      <c r="H116" t="s">
        <v>113</v>
      </c>
      <c r="I116" t="s">
        <v>577</v>
      </c>
      <c r="J116" t="s">
        <v>75</v>
      </c>
      <c r="K116" t="s">
        <v>556</v>
      </c>
      <c r="L116" t="s">
        <v>896</v>
      </c>
      <c r="M116" t="s">
        <v>159</v>
      </c>
      <c r="N116">
        <v>0</v>
      </c>
      <c r="O116" t="s">
        <v>240</v>
      </c>
      <c r="P116" t="s">
        <v>215</v>
      </c>
      <c r="Q116" t="s">
        <v>379</v>
      </c>
      <c r="R116" t="s">
        <v>224</v>
      </c>
      <c r="S116" t="s">
        <v>234</v>
      </c>
      <c r="T116" t="s">
        <v>113</v>
      </c>
      <c r="U116" t="s">
        <v>120</v>
      </c>
      <c r="V116" t="s">
        <v>152</v>
      </c>
      <c r="W116" t="s">
        <v>56</v>
      </c>
      <c r="X116" t="s">
        <v>106</v>
      </c>
      <c r="Y116" t="s">
        <v>450</v>
      </c>
      <c r="Z116" t="s">
        <v>171</v>
      </c>
      <c r="AA116">
        <v>0</v>
      </c>
      <c r="AB116" t="s">
        <v>106</v>
      </c>
      <c r="AC116" t="s">
        <v>113</v>
      </c>
      <c r="AD116" t="s">
        <v>91</v>
      </c>
      <c r="AE116" t="s">
        <v>113</v>
      </c>
      <c r="AF116" t="s">
        <v>52</v>
      </c>
      <c r="AG116" t="s">
        <v>119</v>
      </c>
      <c r="AH116" t="s">
        <v>113</v>
      </c>
      <c r="AI116" t="s">
        <v>88</v>
      </c>
      <c r="AJ116" t="s">
        <v>52</v>
      </c>
      <c r="AK116" t="s">
        <v>62</v>
      </c>
    </row>
    <row r="117" spans="1:37" x14ac:dyDescent="0.25">
      <c r="A117" t="s">
        <v>897</v>
      </c>
      <c r="B117" t="str">
        <f t="shared" si="2"/>
        <v>2019</v>
      </c>
      <c r="C117" t="str">
        <f t="shared" si="3"/>
        <v>11</v>
      </c>
      <c r="D117" t="s">
        <v>898</v>
      </c>
      <c r="E117" t="s">
        <v>899</v>
      </c>
      <c r="F117" t="s">
        <v>311</v>
      </c>
      <c r="G117" t="s">
        <v>269</v>
      </c>
      <c r="H117" t="s">
        <v>188</v>
      </c>
      <c r="I117" t="s">
        <v>105</v>
      </c>
      <c r="J117" t="s">
        <v>55</v>
      </c>
      <c r="K117" t="s">
        <v>461</v>
      </c>
      <c r="L117">
        <v>4</v>
      </c>
      <c r="M117" t="s">
        <v>769</v>
      </c>
      <c r="N117">
        <v>0</v>
      </c>
      <c r="O117" t="s">
        <v>240</v>
      </c>
      <c r="P117" t="s">
        <v>386</v>
      </c>
      <c r="Q117" t="s">
        <v>44</v>
      </c>
      <c r="R117" t="s">
        <v>72</v>
      </c>
      <c r="S117" t="s">
        <v>286</v>
      </c>
      <c r="T117" t="s">
        <v>113</v>
      </c>
      <c r="U117" t="s">
        <v>64</v>
      </c>
      <c r="V117" t="s">
        <v>107</v>
      </c>
      <c r="W117" t="s">
        <v>378</v>
      </c>
      <c r="X117" t="s">
        <v>378</v>
      </c>
      <c r="Y117" t="s">
        <v>214</v>
      </c>
      <c r="Z117" t="s">
        <v>52</v>
      </c>
      <c r="AA117" t="s">
        <v>63</v>
      </c>
      <c r="AB117" t="s">
        <v>107</v>
      </c>
      <c r="AC117" t="s">
        <v>52</v>
      </c>
      <c r="AD117" t="s">
        <v>152</v>
      </c>
      <c r="AE117" t="s">
        <v>113</v>
      </c>
      <c r="AF117" t="s">
        <v>52</v>
      </c>
      <c r="AG117" t="s">
        <v>41</v>
      </c>
      <c r="AH117" t="s">
        <v>113</v>
      </c>
      <c r="AI117" t="s">
        <v>128</v>
      </c>
      <c r="AJ117" t="s">
        <v>52</v>
      </c>
      <c r="AK117" t="s">
        <v>316</v>
      </c>
    </row>
    <row r="118" spans="1:37" x14ac:dyDescent="0.25">
      <c r="A118" t="s">
        <v>900</v>
      </c>
      <c r="B118" t="str">
        <f t="shared" si="2"/>
        <v>2019</v>
      </c>
      <c r="C118" t="str">
        <f t="shared" si="3"/>
        <v>12</v>
      </c>
      <c r="D118" t="s">
        <v>901</v>
      </c>
      <c r="E118" t="s">
        <v>902</v>
      </c>
      <c r="F118" t="s">
        <v>365</v>
      </c>
      <c r="G118">
        <v>6</v>
      </c>
      <c r="H118" t="s">
        <v>113</v>
      </c>
      <c r="I118" t="s">
        <v>89</v>
      </c>
      <c r="J118" t="s">
        <v>44</v>
      </c>
      <c r="K118" t="s">
        <v>366</v>
      </c>
      <c r="L118" t="s">
        <v>903</v>
      </c>
      <c r="M118" t="s">
        <v>349</v>
      </c>
      <c r="N118">
        <v>0</v>
      </c>
      <c r="O118" t="s">
        <v>778</v>
      </c>
      <c r="P118" t="s">
        <v>828</v>
      </c>
      <c r="Q118" t="s">
        <v>97</v>
      </c>
      <c r="R118" t="s">
        <v>286</v>
      </c>
      <c r="S118" t="s">
        <v>45</v>
      </c>
      <c r="T118" t="s">
        <v>113</v>
      </c>
      <c r="U118" t="s">
        <v>104</v>
      </c>
      <c r="V118" t="s">
        <v>107</v>
      </c>
      <c r="W118" t="s">
        <v>134</v>
      </c>
      <c r="X118" t="s">
        <v>76</v>
      </c>
      <c r="Y118" t="s">
        <v>335</v>
      </c>
      <c r="Z118" t="s">
        <v>188</v>
      </c>
      <c r="AA118" t="s">
        <v>63</v>
      </c>
      <c r="AB118" t="s">
        <v>152</v>
      </c>
      <c r="AC118" t="s">
        <v>113</v>
      </c>
      <c r="AD118" t="s">
        <v>53</v>
      </c>
      <c r="AE118" t="s">
        <v>113</v>
      </c>
      <c r="AF118" t="s">
        <v>52</v>
      </c>
      <c r="AG118" t="s">
        <v>171</v>
      </c>
      <c r="AH118" t="s">
        <v>52</v>
      </c>
      <c r="AI118" t="s">
        <v>64</v>
      </c>
      <c r="AJ118" t="s">
        <v>216</v>
      </c>
      <c r="AK118" t="s">
        <v>286</v>
      </c>
    </row>
    <row r="119" spans="1:37" x14ac:dyDescent="0.25">
      <c r="A119" t="s">
        <v>904</v>
      </c>
      <c r="B119" t="str">
        <f t="shared" si="2"/>
        <v>2020</v>
      </c>
      <c r="C119" t="str">
        <f t="shared" si="3"/>
        <v>01</v>
      </c>
      <c r="D119" t="s">
        <v>905</v>
      </c>
      <c r="E119" t="s">
        <v>906</v>
      </c>
      <c r="F119" t="s">
        <v>907</v>
      </c>
      <c r="G119" t="s">
        <v>908</v>
      </c>
      <c r="H119" t="s">
        <v>188</v>
      </c>
      <c r="I119" t="s">
        <v>105</v>
      </c>
      <c r="J119" t="s">
        <v>234</v>
      </c>
      <c r="K119" t="s">
        <v>909</v>
      </c>
      <c r="L119" t="s">
        <v>748</v>
      </c>
      <c r="M119" t="s">
        <v>270</v>
      </c>
      <c r="N119">
        <v>0</v>
      </c>
      <c r="O119" t="s">
        <v>195</v>
      </c>
      <c r="P119" t="s">
        <v>829</v>
      </c>
      <c r="Q119" t="s">
        <v>97</v>
      </c>
      <c r="R119" t="s">
        <v>62</v>
      </c>
      <c r="S119" t="s">
        <v>62</v>
      </c>
      <c r="T119" t="s">
        <v>63</v>
      </c>
      <c r="U119" t="s">
        <v>128</v>
      </c>
      <c r="V119" t="s">
        <v>107</v>
      </c>
      <c r="W119" t="s">
        <v>56</v>
      </c>
      <c r="X119" t="s">
        <v>76</v>
      </c>
      <c r="Y119" t="s">
        <v>910</v>
      </c>
      <c r="Z119" t="s">
        <v>188</v>
      </c>
      <c r="AA119" t="s">
        <v>63</v>
      </c>
      <c r="AB119" t="s">
        <v>66</v>
      </c>
      <c r="AC119" t="s">
        <v>113</v>
      </c>
      <c r="AD119" t="s">
        <v>53</v>
      </c>
      <c r="AE119" t="s">
        <v>63</v>
      </c>
      <c r="AF119" t="s">
        <v>113</v>
      </c>
      <c r="AG119" t="s">
        <v>188</v>
      </c>
      <c r="AH119" t="s">
        <v>113</v>
      </c>
      <c r="AI119" t="s">
        <v>120</v>
      </c>
      <c r="AJ119" t="s">
        <v>52</v>
      </c>
      <c r="AK119" t="s">
        <v>45</v>
      </c>
    </row>
    <row r="120" spans="1:37" x14ac:dyDescent="0.25">
      <c r="A120" t="s">
        <v>911</v>
      </c>
      <c r="B120" t="str">
        <f t="shared" si="2"/>
        <v>2020</v>
      </c>
      <c r="C120" t="str">
        <f t="shared" si="3"/>
        <v>02</v>
      </c>
      <c r="D120" t="s">
        <v>912</v>
      </c>
      <c r="E120" t="s">
        <v>913</v>
      </c>
      <c r="F120" t="s">
        <v>914</v>
      </c>
      <c r="G120" t="s">
        <v>915</v>
      </c>
      <c r="H120" t="s">
        <v>188</v>
      </c>
      <c r="I120" t="s">
        <v>727</v>
      </c>
      <c r="J120" t="s">
        <v>201</v>
      </c>
      <c r="K120" t="s">
        <v>622</v>
      </c>
      <c r="L120" t="s">
        <v>865</v>
      </c>
      <c r="M120" t="s">
        <v>606</v>
      </c>
      <c r="N120">
        <v>0</v>
      </c>
      <c r="O120" t="s">
        <v>177</v>
      </c>
      <c r="P120" t="s">
        <v>752</v>
      </c>
      <c r="Q120" t="s">
        <v>507</v>
      </c>
      <c r="R120" t="s">
        <v>257</v>
      </c>
      <c r="S120" t="s">
        <v>316</v>
      </c>
      <c r="T120" t="s">
        <v>63</v>
      </c>
      <c r="U120" t="s">
        <v>41</v>
      </c>
      <c r="V120" t="s">
        <v>66</v>
      </c>
      <c r="W120" t="s">
        <v>134</v>
      </c>
      <c r="X120" t="s">
        <v>56</v>
      </c>
      <c r="Y120" t="s">
        <v>675</v>
      </c>
      <c r="Z120" t="s">
        <v>216</v>
      </c>
      <c r="AA120" t="s">
        <v>63</v>
      </c>
      <c r="AB120" t="s">
        <v>107</v>
      </c>
      <c r="AC120" t="s">
        <v>113</v>
      </c>
      <c r="AD120" t="s">
        <v>66</v>
      </c>
      <c r="AE120" t="s">
        <v>63</v>
      </c>
      <c r="AF120" t="s">
        <v>52</v>
      </c>
      <c r="AG120" t="s">
        <v>216</v>
      </c>
      <c r="AH120" t="s">
        <v>113</v>
      </c>
      <c r="AI120" t="s">
        <v>120</v>
      </c>
      <c r="AJ120" t="s">
        <v>188</v>
      </c>
      <c r="AK120" t="s">
        <v>317</v>
      </c>
    </row>
    <row r="121" spans="1:37" x14ac:dyDescent="0.25">
      <c r="A121" t="s">
        <v>916</v>
      </c>
      <c r="B121" t="str">
        <f t="shared" si="2"/>
        <v>2020</v>
      </c>
      <c r="C121" t="str">
        <f t="shared" si="3"/>
        <v>03</v>
      </c>
      <c r="D121" t="s">
        <v>917</v>
      </c>
      <c r="E121" t="s">
        <v>918</v>
      </c>
      <c r="F121" t="s">
        <v>919</v>
      </c>
      <c r="G121" t="s">
        <v>920</v>
      </c>
      <c r="H121" t="s">
        <v>52</v>
      </c>
      <c r="I121" t="s">
        <v>650</v>
      </c>
      <c r="J121" t="s">
        <v>195</v>
      </c>
      <c r="K121" t="s">
        <v>821</v>
      </c>
      <c r="L121" t="s">
        <v>921</v>
      </c>
      <c r="M121" t="s">
        <v>835</v>
      </c>
      <c r="N121">
        <v>0</v>
      </c>
      <c r="O121" t="s">
        <v>343</v>
      </c>
      <c r="P121" t="s">
        <v>843</v>
      </c>
      <c r="Q121" t="s">
        <v>293</v>
      </c>
      <c r="R121" t="s">
        <v>257</v>
      </c>
      <c r="S121" t="s">
        <v>75</v>
      </c>
      <c r="T121" t="s">
        <v>113</v>
      </c>
      <c r="U121" t="s">
        <v>41</v>
      </c>
      <c r="V121" t="s">
        <v>73</v>
      </c>
      <c r="W121" t="s">
        <v>56</v>
      </c>
      <c r="X121" t="s">
        <v>75</v>
      </c>
      <c r="Y121" t="s">
        <v>461</v>
      </c>
      <c r="Z121" t="s">
        <v>188</v>
      </c>
      <c r="AA121" t="s">
        <v>63</v>
      </c>
      <c r="AB121" t="s">
        <v>152</v>
      </c>
      <c r="AC121" t="s">
        <v>113</v>
      </c>
      <c r="AD121" t="s">
        <v>42</v>
      </c>
      <c r="AE121" t="s">
        <v>63</v>
      </c>
      <c r="AF121" t="s">
        <v>52</v>
      </c>
      <c r="AG121" t="s">
        <v>216</v>
      </c>
      <c r="AH121" t="s">
        <v>113</v>
      </c>
      <c r="AI121" t="s">
        <v>64</v>
      </c>
      <c r="AJ121" t="s">
        <v>188</v>
      </c>
      <c r="AK121" t="s">
        <v>317</v>
      </c>
    </row>
    <row r="122" spans="1:37" x14ac:dyDescent="0.25">
      <c r="A122" t="s">
        <v>922</v>
      </c>
      <c r="B122" t="str">
        <f t="shared" si="2"/>
        <v>2020</v>
      </c>
      <c r="C122" t="str">
        <f t="shared" si="3"/>
        <v>04</v>
      </c>
      <c r="D122" t="s">
        <v>923</v>
      </c>
      <c r="E122" t="s">
        <v>924</v>
      </c>
      <c r="F122" t="s">
        <v>925</v>
      </c>
      <c r="G122" t="s">
        <v>889</v>
      </c>
      <c r="H122" t="s">
        <v>52</v>
      </c>
      <c r="I122" t="s">
        <v>377</v>
      </c>
      <c r="J122" t="s">
        <v>814</v>
      </c>
      <c r="K122" t="s">
        <v>186</v>
      </c>
      <c r="L122" t="s">
        <v>926</v>
      </c>
      <c r="M122" t="s">
        <v>687</v>
      </c>
      <c r="N122">
        <v>0</v>
      </c>
      <c r="O122" t="s">
        <v>660</v>
      </c>
      <c r="P122" t="s">
        <v>636</v>
      </c>
      <c r="Q122" t="s">
        <v>217</v>
      </c>
      <c r="R122" t="s">
        <v>241</v>
      </c>
      <c r="S122" t="s">
        <v>51</v>
      </c>
      <c r="T122" t="s">
        <v>63</v>
      </c>
      <c r="U122" t="s">
        <v>64</v>
      </c>
      <c r="V122" t="s">
        <v>378</v>
      </c>
      <c r="W122" t="s">
        <v>378</v>
      </c>
      <c r="X122" t="s">
        <v>134</v>
      </c>
      <c r="Y122" t="s">
        <v>674</v>
      </c>
      <c r="Z122" t="s">
        <v>52</v>
      </c>
      <c r="AA122" t="s">
        <v>63</v>
      </c>
      <c r="AB122" t="s">
        <v>378</v>
      </c>
      <c r="AC122" t="s">
        <v>52</v>
      </c>
      <c r="AD122" t="s">
        <v>106</v>
      </c>
      <c r="AE122" t="s">
        <v>52</v>
      </c>
      <c r="AF122" t="s">
        <v>63</v>
      </c>
      <c r="AG122" t="s">
        <v>188</v>
      </c>
      <c r="AH122" t="s">
        <v>113</v>
      </c>
      <c r="AI122" t="s">
        <v>104</v>
      </c>
      <c r="AJ122" t="s">
        <v>188</v>
      </c>
      <c r="AK122" t="s">
        <v>317</v>
      </c>
    </row>
    <row r="123" spans="1:37" x14ac:dyDescent="0.25">
      <c r="A123" t="s">
        <v>927</v>
      </c>
      <c r="B123" t="str">
        <f t="shared" si="2"/>
        <v>2020</v>
      </c>
      <c r="C123" t="str">
        <f t="shared" si="3"/>
        <v>05</v>
      </c>
      <c r="D123">
        <v>41</v>
      </c>
      <c r="E123" t="s">
        <v>928</v>
      </c>
      <c r="F123" t="s">
        <v>356</v>
      </c>
      <c r="G123" t="s">
        <v>929</v>
      </c>
      <c r="H123" t="s">
        <v>52</v>
      </c>
      <c r="I123" t="s">
        <v>351</v>
      </c>
      <c r="J123" t="s">
        <v>432</v>
      </c>
      <c r="K123" t="s">
        <v>567</v>
      </c>
      <c r="L123" t="s">
        <v>133</v>
      </c>
      <c r="M123" t="s">
        <v>611</v>
      </c>
      <c r="N123">
        <v>0</v>
      </c>
      <c r="O123" t="s">
        <v>226</v>
      </c>
      <c r="P123" t="s">
        <v>814</v>
      </c>
      <c r="Q123" t="s">
        <v>207</v>
      </c>
      <c r="R123" t="s">
        <v>90</v>
      </c>
      <c r="S123" t="s">
        <v>207</v>
      </c>
      <c r="T123" t="s">
        <v>113</v>
      </c>
      <c r="U123" t="s">
        <v>120</v>
      </c>
      <c r="V123" t="s">
        <v>152</v>
      </c>
      <c r="W123" t="s">
        <v>66</v>
      </c>
      <c r="X123" t="s">
        <v>107</v>
      </c>
      <c r="Y123" t="s">
        <v>909</v>
      </c>
      <c r="Z123" t="s">
        <v>113</v>
      </c>
      <c r="AA123">
        <v>0</v>
      </c>
      <c r="AB123" t="s">
        <v>53</v>
      </c>
      <c r="AC123" t="s">
        <v>113</v>
      </c>
      <c r="AD123" t="s">
        <v>107</v>
      </c>
      <c r="AE123" t="s">
        <v>63</v>
      </c>
      <c r="AF123" t="s">
        <v>63</v>
      </c>
      <c r="AG123" t="s">
        <v>113</v>
      </c>
      <c r="AH123" t="s">
        <v>63</v>
      </c>
      <c r="AI123" t="s">
        <v>104</v>
      </c>
      <c r="AJ123" t="s">
        <v>52</v>
      </c>
      <c r="AK123" t="s">
        <v>103</v>
      </c>
    </row>
    <row r="124" spans="1:37" x14ac:dyDescent="0.25">
      <c r="A124" t="s">
        <v>930</v>
      </c>
      <c r="B124" t="str">
        <f t="shared" si="2"/>
        <v>2020</v>
      </c>
      <c r="C124" t="str">
        <f t="shared" si="3"/>
        <v>06</v>
      </c>
      <c r="D124" t="s">
        <v>931</v>
      </c>
      <c r="E124" t="s">
        <v>932</v>
      </c>
      <c r="F124" t="s">
        <v>933</v>
      </c>
      <c r="G124" t="s">
        <v>934</v>
      </c>
      <c r="H124" t="s">
        <v>171</v>
      </c>
      <c r="I124" t="s">
        <v>271</v>
      </c>
      <c r="J124" t="s">
        <v>195</v>
      </c>
      <c r="K124" t="s">
        <v>461</v>
      </c>
      <c r="L124" t="s">
        <v>568</v>
      </c>
      <c r="M124" t="s">
        <v>517</v>
      </c>
      <c r="N124">
        <v>0</v>
      </c>
      <c r="O124" t="s">
        <v>177</v>
      </c>
      <c r="P124" t="s">
        <v>240</v>
      </c>
      <c r="Q124" t="s">
        <v>55</v>
      </c>
      <c r="R124" t="s">
        <v>42</v>
      </c>
      <c r="S124" t="s">
        <v>410</v>
      </c>
      <c r="T124" t="s">
        <v>113</v>
      </c>
      <c r="U124" t="s">
        <v>41</v>
      </c>
      <c r="V124" t="s">
        <v>152</v>
      </c>
      <c r="W124" t="s">
        <v>66</v>
      </c>
      <c r="X124" t="s">
        <v>107</v>
      </c>
      <c r="Y124" t="s">
        <v>121</v>
      </c>
      <c r="Z124" t="s">
        <v>113</v>
      </c>
      <c r="AA124" t="s">
        <v>63</v>
      </c>
      <c r="AB124" t="s">
        <v>73</v>
      </c>
      <c r="AC124" t="s">
        <v>63</v>
      </c>
      <c r="AD124" t="s">
        <v>73</v>
      </c>
      <c r="AE124" t="s">
        <v>63</v>
      </c>
      <c r="AF124" t="s">
        <v>63</v>
      </c>
      <c r="AG124" t="s">
        <v>52</v>
      </c>
      <c r="AH124" t="s">
        <v>63</v>
      </c>
      <c r="AI124" t="s">
        <v>41</v>
      </c>
      <c r="AJ124" t="s">
        <v>52</v>
      </c>
      <c r="AK124" t="s">
        <v>42</v>
      </c>
    </row>
    <row r="125" spans="1:37" x14ac:dyDescent="0.25">
      <c r="A125" t="s">
        <v>935</v>
      </c>
      <c r="B125" t="str">
        <f t="shared" si="2"/>
        <v>2020</v>
      </c>
      <c r="C125" t="str">
        <f t="shared" si="3"/>
        <v>07</v>
      </c>
      <c r="D125" t="s">
        <v>936</v>
      </c>
      <c r="E125" t="s">
        <v>937</v>
      </c>
      <c r="F125" t="s">
        <v>415</v>
      </c>
      <c r="G125" t="s">
        <v>938</v>
      </c>
      <c r="H125" t="s">
        <v>216</v>
      </c>
      <c r="I125" t="s">
        <v>170</v>
      </c>
      <c r="J125" t="s">
        <v>185</v>
      </c>
      <c r="K125" t="s">
        <v>74</v>
      </c>
      <c r="L125" t="s">
        <v>557</v>
      </c>
      <c r="M125" t="s">
        <v>807</v>
      </c>
      <c r="N125">
        <v>0</v>
      </c>
      <c r="O125" t="s">
        <v>443</v>
      </c>
      <c r="P125" t="s">
        <v>226</v>
      </c>
      <c r="Q125" t="s">
        <v>207</v>
      </c>
      <c r="R125" t="s">
        <v>378</v>
      </c>
      <c r="S125" t="s">
        <v>201</v>
      </c>
      <c r="T125" t="s">
        <v>113</v>
      </c>
      <c r="U125" t="s">
        <v>119</v>
      </c>
      <c r="V125" t="s">
        <v>106</v>
      </c>
      <c r="W125" t="s">
        <v>91</v>
      </c>
      <c r="X125" t="s">
        <v>128</v>
      </c>
      <c r="Y125" t="s">
        <v>909</v>
      </c>
      <c r="Z125" t="s">
        <v>113</v>
      </c>
      <c r="AA125" t="s">
        <v>63</v>
      </c>
      <c r="AB125" t="s">
        <v>107</v>
      </c>
      <c r="AC125" t="s">
        <v>113</v>
      </c>
      <c r="AD125" t="s">
        <v>104</v>
      </c>
      <c r="AE125" t="s">
        <v>113</v>
      </c>
      <c r="AF125" t="s">
        <v>63</v>
      </c>
      <c r="AG125" t="s">
        <v>188</v>
      </c>
      <c r="AH125" t="s">
        <v>63</v>
      </c>
      <c r="AI125" t="s">
        <v>119</v>
      </c>
      <c r="AJ125" t="s">
        <v>63</v>
      </c>
      <c r="AK125" t="s">
        <v>42</v>
      </c>
    </row>
    <row r="126" spans="1:37" x14ac:dyDescent="0.25">
      <c r="A126" t="s">
        <v>939</v>
      </c>
      <c r="B126" t="str">
        <f t="shared" si="2"/>
        <v>2020</v>
      </c>
      <c r="C126" t="str">
        <f t="shared" si="3"/>
        <v>08</v>
      </c>
      <c r="D126" t="s">
        <v>940</v>
      </c>
      <c r="E126" t="s">
        <v>941</v>
      </c>
      <c r="F126" t="s">
        <v>942</v>
      </c>
      <c r="G126" t="s">
        <v>943</v>
      </c>
      <c r="H126" t="s">
        <v>171</v>
      </c>
      <c r="I126" t="s">
        <v>702</v>
      </c>
      <c r="J126" t="s">
        <v>807</v>
      </c>
      <c r="K126" t="s">
        <v>451</v>
      </c>
      <c r="L126" t="s">
        <v>515</v>
      </c>
      <c r="M126" t="s">
        <v>611</v>
      </c>
      <c r="N126">
        <v>0</v>
      </c>
      <c r="O126" t="s">
        <v>424</v>
      </c>
      <c r="P126" t="s">
        <v>477</v>
      </c>
      <c r="Q126" t="s">
        <v>241</v>
      </c>
      <c r="R126" t="s">
        <v>76</v>
      </c>
      <c r="S126" t="s">
        <v>40</v>
      </c>
      <c r="T126" t="s">
        <v>52</v>
      </c>
      <c r="U126" t="s">
        <v>128</v>
      </c>
      <c r="V126" t="s">
        <v>152</v>
      </c>
      <c r="W126" t="s">
        <v>66</v>
      </c>
      <c r="X126" t="s">
        <v>91</v>
      </c>
      <c r="Y126" t="s">
        <v>751</v>
      </c>
      <c r="Z126" t="s">
        <v>113</v>
      </c>
      <c r="AA126" t="s">
        <v>113</v>
      </c>
      <c r="AB126" t="s">
        <v>128</v>
      </c>
      <c r="AC126" t="s">
        <v>113</v>
      </c>
      <c r="AD126" t="s">
        <v>73</v>
      </c>
      <c r="AE126" t="s">
        <v>113</v>
      </c>
      <c r="AF126" t="s">
        <v>113</v>
      </c>
      <c r="AG126" t="s">
        <v>188</v>
      </c>
      <c r="AH126" t="s">
        <v>63</v>
      </c>
      <c r="AI126" t="s">
        <v>41</v>
      </c>
      <c r="AJ126" t="s">
        <v>113</v>
      </c>
      <c r="AK126" t="s">
        <v>56</v>
      </c>
    </row>
    <row r="127" spans="1:37" x14ac:dyDescent="0.25">
      <c r="A127" t="s">
        <v>944</v>
      </c>
      <c r="B127" t="str">
        <f t="shared" si="2"/>
        <v>2020</v>
      </c>
      <c r="C127" t="str">
        <f t="shared" si="3"/>
        <v>09</v>
      </c>
      <c r="D127" t="s">
        <v>945</v>
      </c>
      <c r="E127" t="s">
        <v>946</v>
      </c>
      <c r="F127" t="s">
        <v>947</v>
      </c>
      <c r="G127" t="s">
        <v>948</v>
      </c>
      <c r="H127" t="s">
        <v>188</v>
      </c>
      <c r="I127" t="s">
        <v>949</v>
      </c>
      <c r="J127" t="s">
        <v>806</v>
      </c>
      <c r="K127" t="s">
        <v>460</v>
      </c>
      <c r="L127" t="s">
        <v>515</v>
      </c>
      <c r="M127" t="s">
        <v>215</v>
      </c>
      <c r="N127">
        <v>0</v>
      </c>
      <c r="O127" t="s">
        <v>452</v>
      </c>
      <c r="P127" t="s">
        <v>410</v>
      </c>
      <c r="Q127" t="s">
        <v>317</v>
      </c>
      <c r="R127" t="s">
        <v>378</v>
      </c>
      <c r="S127" t="s">
        <v>51</v>
      </c>
      <c r="T127" t="s">
        <v>188</v>
      </c>
      <c r="U127" t="s">
        <v>216</v>
      </c>
      <c r="V127" t="s">
        <v>91</v>
      </c>
      <c r="W127" t="s">
        <v>42</v>
      </c>
      <c r="X127" t="s">
        <v>53</v>
      </c>
      <c r="Y127" t="s">
        <v>568</v>
      </c>
      <c r="Z127" t="s">
        <v>63</v>
      </c>
      <c r="AA127" t="s">
        <v>63</v>
      </c>
      <c r="AB127" t="s">
        <v>73</v>
      </c>
      <c r="AC127" t="s">
        <v>113</v>
      </c>
      <c r="AD127" t="s">
        <v>128</v>
      </c>
      <c r="AE127" t="s">
        <v>52</v>
      </c>
      <c r="AF127" t="s">
        <v>63</v>
      </c>
      <c r="AG127" t="s">
        <v>188</v>
      </c>
      <c r="AH127" t="s">
        <v>63</v>
      </c>
      <c r="AI127" t="s">
        <v>120</v>
      </c>
      <c r="AJ127" t="s">
        <v>113</v>
      </c>
      <c r="AK127" t="s">
        <v>56</v>
      </c>
    </row>
    <row r="128" spans="1:37" x14ac:dyDescent="0.25">
      <c r="A128" t="s">
        <v>950</v>
      </c>
      <c r="B128" t="str">
        <f t="shared" si="2"/>
        <v>2020</v>
      </c>
      <c r="C128" t="str">
        <f t="shared" si="3"/>
        <v>10</v>
      </c>
      <c r="D128" t="s">
        <v>803</v>
      </c>
      <c r="E128" t="s">
        <v>951</v>
      </c>
      <c r="F128" t="s">
        <v>952</v>
      </c>
      <c r="G128" t="s">
        <v>953</v>
      </c>
      <c r="H128" t="s">
        <v>216</v>
      </c>
      <c r="I128" t="s">
        <v>359</v>
      </c>
      <c r="J128" t="s">
        <v>215</v>
      </c>
      <c r="K128" t="s">
        <v>697</v>
      </c>
      <c r="L128" t="s">
        <v>546</v>
      </c>
      <c r="M128" t="s">
        <v>611</v>
      </c>
      <c r="N128">
        <v>0</v>
      </c>
      <c r="O128" t="s">
        <v>240</v>
      </c>
      <c r="P128" t="s">
        <v>424</v>
      </c>
      <c r="Q128" t="s">
        <v>62</v>
      </c>
      <c r="R128" t="s">
        <v>42</v>
      </c>
      <c r="S128" t="s">
        <v>45</v>
      </c>
      <c r="T128" t="s">
        <v>216</v>
      </c>
      <c r="U128" t="s">
        <v>119</v>
      </c>
      <c r="V128" t="s">
        <v>91</v>
      </c>
      <c r="W128" t="s">
        <v>106</v>
      </c>
      <c r="X128" t="s">
        <v>88</v>
      </c>
      <c r="Y128" t="s">
        <v>377</v>
      </c>
      <c r="Z128" t="s">
        <v>113</v>
      </c>
      <c r="AA128" t="s">
        <v>63</v>
      </c>
      <c r="AB128" t="s">
        <v>107</v>
      </c>
      <c r="AC128" t="s">
        <v>52</v>
      </c>
      <c r="AD128" t="s">
        <v>64</v>
      </c>
      <c r="AE128" t="s">
        <v>188</v>
      </c>
      <c r="AF128" t="s">
        <v>113</v>
      </c>
      <c r="AG128" t="s">
        <v>188</v>
      </c>
      <c r="AH128">
        <v>0</v>
      </c>
      <c r="AI128" t="s">
        <v>171</v>
      </c>
      <c r="AJ128" t="s">
        <v>113</v>
      </c>
      <c r="AK128" t="s">
        <v>106</v>
      </c>
    </row>
    <row r="129" spans="1:37" x14ac:dyDescent="0.25">
      <c r="A129" t="s">
        <v>954</v>
      </c>
      <c r="B129" t="str">
        <f t="shared" si="2"/>
        <v>2020</v>
      </c>
      <c r="C129" t="str">
        <f t="shared" si="3"/>
        <v>11</v>
      </c>
      <c r="D129" t="s">
        <v>955</v>
      </c>
      <c r="E129" t="s">
        <v>956</v>
      </c>
      <c r="F129" t="s">
        <v>925</v>
      </c>
      <c r="G129" t="s">
        <v>957</v>
      </c>
      <c r="H129" t="s">
        <v>171</v>
      </c>
      <c r="I129" t="s">
        <v>315</v>
      </c>
      <c r="J129" t="s">
        <v>394</v>
      </c>
      <c r="K129" t="s">
        <v>958</v>
      </c>
      <c r="L129" t="s">
        <v>512</v>
      </c>
      <c r="M129" t="s">
        <v>843</v>
      </c>
      <c r="N129">
        <v>0</v>
      </c>
      <c r="O129" t="s">
        <v>177</v>
      </c>
      <c r="P129" t="s">
        <v>249</v>
      </c>
      <c r="Q129" t="s">
        <v>72</v>
      </c>
      <c r="R129" t="s">
        <v>106</v>
      </c>
      <c r="S129" t="s">
        <v>72</v>
      </c>
      <c r="T129" t="s">
        <v>64</v>
      </c>
      <c r="U129" t="s">
        <v>119</v>
      </c>
      <c r="V129" t="s">
        <v>134</v>
      </c>
      <c r="W129" t="s">
        <v>106</v>
      </c>
      <c r="X129" t="s">
        <v>152</v>
      </c>
      <c r="Y129">
        <v>0</v>
      </c>
      <c r="Z129" t="s">
        <v>113</v>
      </c>
      <c r="AA129" t="s">
        <v>63</v>
      </c>
      <c r="AB129" t="s">
        <v>53</v>
      </c>
      <c r="AC129" t="s">
        <v>52</v>
      </c>
      <c r="AD129" t="s">
        <v>120</v>
      </c>
      <c r="AE129" t="s">
        <v>119</v>
      </c>
      <c r="AF129" t="s">
        <v>113</v>
      </c>
      <c r="AG129" t="s">
        <v>188</v>
      </c>
      <c r="AH129">
        <v>0</v>
      </c>
      <c r="AI129" t="s">
        <v>119</v>
      </c>
      <c r="AJ129" t="s">
        <v>63</v>
      </c>
      <c r="AK129" t="s">
        <v>126</v>
      </c>
    </row>
    <row r="130" spans="1:37" x14ac:dyDescent="0.25">
      <c r="A130" t="s">
        <v>959</v>
      </c>
      <c r="B130" t="str">
        <f t="shared" si="2"/>
        <v>2020</v>
      </c>
      <c r="C130" t="str">
        <f t="shared" si="3"/>
        <v>12</v>
      </c>
      <c r="D130" t="s">
        <v>960</v>
      </c>
      <c r="E130" t="s">
        <v>961</v>
      </c>
      <c r="F130" t="s">
        <v>962</v>
      </c>
      <c r="G130" t="s">
        <v>963</v>
      </c>
      <c r="H130" t="s">
        <v>820</v>
      </c>
      <c r="I130" t="s">
        <v>271</v>
      </c>
      <c r="J130" t="s">
        <v>642</v>
      </c>
      <c r="K130" t="s">
        <v>263</v>
      </c>
      <c r="L130" t="s">
        <v>515</v>
      </c>
      <c r="M130" t="s">
        <v>255</v>
      </c>
      <c r="N130">
        <v>0</v>
      </c>
      <c r="O130" t="s">
        <v>410</v>
      </c>
      <c r="P130" t="s">
        <v>424</v>
      </c>
      <c r="Q130" t="s">
        <v>317</v>
      </c>
      <c r="R130" t="s">
        <v>53</v>
      </c>
      <c r="S130" t="s">
        <v>62</v>
      </c>
      <c r="T130" t="s">
        <v>171</v>
      </c>
      <c r="U130" t="s">
        <v>41</v>
      </c>
      <c r="V130" t="s">
        <v>53</v>
      </c>
      <c r="W130" t="s">
        <v>378</v>
      </c>
      <c r="X130" t="s">
        <v>53</v>
      </c>
      <c r="Y130">
        <v>0</v>
      </c>
      <c r="Z130" t="s">
        <v>113</v>
      </c>
      <c r="AA130" t="s">
        <v>63</v>
      </c>
      <c r="AB130" t="s">
        <v>66</v>
      </c>
      <c r="AC130" t="s">
        <v>113</v>
      </c>
      <c r="AD130" t="s">
        <v>64</v>
      </c>
      <c r="AE130" t="s">
        <v>216</v>
      </c>
      <c r="AF130" t="s">
        <v>63</v>
      </c>
      <c r="AG130" t="s">
        <v>188</v>
      </c>
      <c r="AH130" t="s">
        <v>63</v>
      </c>
      <c r="AI130" t="s">
        <v>216</v>
      </c>
      <c r="AJ130" t="s">
        <v>63</v>
      </c>
      <c r="AK130" t="s">
        <v>106</v>
      </c>
    </row>
    <row r="131" spans="1:37" x14ac:dyDescent="0.25">
      <c r="A131" t="s">
        <v>964</v>
      </c>
      <c r="B131" t="str">
        <f t="shared" ref="B131:B194" si="4">LEFT(A131,4)</f>
        <v>2021</v>
      </c>
      <c r="C131" t="str">
        <f t="shared" ref="C131:C194" si="5">RIGHT(A131,2)</f>
        <v>01</v>
      </c>
      <c r="D131" t="s">
        <v>961</v>
      </c>
      <c r="E131" t="s">
        <v>965</v>
      </c>
      <c r="F131" t="s">
        <v>966</v>
      </c>
      <c r="G131" t="s">
        <v>967</v>
      </c>
      <c r="H131" t="s">
        <v>926</v>
      </c>
      <c r="I131" t="s">
        <v>225</v>
      </c>
      <c r="J131" t="s">
        <v>308</v>
      </c>
      <c r="K131" t="s">
        <v>702</v>
      </c>
      <c r="L131" t="s">
        <v>680</v>
      </c>
      <c r="M131" t="s">
        <v>752</v>
      </c>
      <c r="N131">
        <v>0</v>
      </c>
      <c r="O131" t="s">
        <v>234</v>
      </c>
      <c r="P131" t="s">
        <v>477</v>
      </c>
      <c r="Q131" t="s">
        <v>75</v>
      </c>
      <c r="R131" t="s">
        <v>107</v>
      </c>
      <c r="S131" t="s">
        <v>241</v>
      </c>
      <c r="T131" t="s">
        <v>216</v>
      </c>
      <c r="U131" t="s">
        <v>171</v>
      </c>
      <c r="V131" t="s">
        <v>73</v>
      </c>
      <c r="W131" t="s">
        <v>53</v>
      </c>
      <c r="X131" t="s">
        <v>107</v>
      </c>
      <c r="Y131">
        <v>0</v>
      </c>
      <c r="Z131" t="s">
        <v>113</v>
      </c>
      <c r="AA131" t="s">
        <v>63</v>
      </c>
      <c r="AB131" t="s">
        <v>66</v>
      </c>
      <c r="AC131" t="s">
        <v>63</v>
      </c>
      <c r="AD131" t="s">
        <v>75</v>
      </c>
      <c r="AE131" t="s">
        <v>41</v>
      </c>
      <c r="AF131" t="s">
        <v>113</v>
      </c>
      <c r="AG131" t="s">
        <v>188</v>
      </c>
      <c r="AH131" t="s">
        <v>63</v>
      </c>
      <c r="AI131" t="s">
        <v>171</v>
      </c>
      <c r="AJ131" t="s">
        <v>63</v>
      </c>
      <c r="AK131" t="s">
        <v>91</v>
      </c>
    </row>
    <row r="132" spans="1:37" x14ac:dyDescent="0.25">
      <c r="A132" t="s">
        <v>968</v>
      </c>
      <c r="B132" t="str">
        <f t="shared" si="4"/>
        <v>2021</v>
      </c>
      <c r="C132" t="str">
        <f t="shared" si="5"/>
        <v>02</v>
      </c>
      <c r="D132" t="s">
        <v>969</v>
      </c>
      <c r="E132" t="s">
        <v>970</v>
      </c>
      <c r="F132" t="s">
        <v>536</v>
      </c>
      <c r="G132" t="s">
        <v>971</v>
      </c>
      <c r="H132" t="s">
        <v>861</v>
      </c>
      <c r="I132" t="s">
        <v>233</v>
      </c>
      <c r="J132" t="s">
        <v>164</v>
      </c>
      <c r="K132" t="s">
        <v>329</v>
      </c>
      <c r="L132" t="s">
        <v>512</v>
      </c>
      <c r="M132" t="s">
        <v>843</v>
      </c>
      <c r="N132">
        <v>0</v>
      </c>
      <c r="O132" t="s">
        <v>507</v>
      </c>
      <c r="P132" t="s">
        <v>242</v>
      </c>
      <c r="Q132" t="s">
        <v>76</v>
      </c>
      <c r="R132" t="s">
        <v>53</v>
      </c>
      <c r="S132" t="s">
        <v>40</v>
      </c>
      <c r="T132" t="s">
        <v>188</v>
      </c>
      <c r="U132" t="s">
        <v>120</v>
      </c>
      <c r="V132" t="s">
        <v>128</v>
      </c>
      <c r="W132" t="s">
        <v>91</v>
      </c>
      <c r="X132" t="s">
        <v>88</v>
      </c>
      <c r="Y132">
        <v>0</v>
      </c>
      <c r="Z132" t="s">
        <v>113</v>
      </c>
      <c r="AA132" t="s">
        <v>63</v>
      </c>
      <c r="AB132" t="s">
        <v>107</v>
      </c>
      <c r="AC132" t="s">
        <v>63</v>
      </c>
      <c r="AD132" t="s">
        <v>120</v>
      </c>
      <c r="AE132" t="s">
        <v>188</v>
      </c>
      <c r="AF132" t="s">
        <v>63</v>
      </c>
      <c r="AG132" t="s">
        <v>52</v>
      </c>
      <c r="AH132" t="s">
        <v>63</v>
      </c>
      <c r="AI132" t="s">
        <v>188</v>
      </c>
      <c r="AJ132" t="s">
        <v>63</v>
      </c>
      <c r="AK132" t="s">
        <v>107</v>
      </c>
    </row>
    <row r="133" spans="1:37" x14ac:dyDescent="0.25">
      <c r="A133" t="s">
        <v>972</v>
      </c>
      <c r="B133" t="str">
        <f t="shared" si="4"/>
        <v>2021</v>
      </c>
      <c r="C133" t="str">
        <f t="shared" si="5"/>
        <v>03</v>
      </c>
      <c r="D133" t="s">
        <v>973</v>
      </c>
      <c r="E133" t="s">
        <v>974</v>
      </c>
      <c r="F133" t="s">
        <v>975</v>
      </c>
      <c r="G133" t="s">
        <v>976</v>
      </c>
      <c r="H133" t="s">
        <v>977</v>
      </c>
      <c r="I133" t="s">
        <v>233</v>
      </c>
      <c r="J133" t="s">
        <v>187</v>
      </c>
      <c r="K133" t="s">
        <v>263</v>
      </c>
      <c r="L133" t="s">
        <v>54</v>
      </c>
      <c r="M133" t="s">
        <v>636</v>
      </c>
      <c r="N133">
        <v>0</v>
      </c>
      <c r="O133" t="s">
        <v>488</v>
      </c>
      <c r="P133" t="s">
        <v>193</v>
      </c>
      <c r="Q133" t="s">
        <v>45</v>
      </c>
      <c r="R133" t="s">
        <v>53</v>
      </c>
      <c r="S133" t="s">
        <v>51</v>
      </c>
      <c r="T133" t="s">
        <v>52</v>
      </c>
      <c r="U133" t="s">
        <v>120</v>
      </c>
      <c r="V133" t="s">
        <v>128</v>
      </c>
      <c r="W133" t="s">
        <v>53</v>
      </c>
      <c r="X133" t="s">
        <v>128</v>
      </c>
      <c r="Y133">
        <v>0</v>
      </c>
      <c r="Z133" t="s">
        <v>63</v>
      </c>
      <c r="AA133" t="s">
        <v>63</v>
      </c>
      <c r="AB133" t="s">
        <v>107</v>
      </c>
      <c r="AC133" t="s">
        <v>113</v>
      </c>
      <c r="AD133" t="s">
        <v>41</v>
      </c>
      <c r="AE133" t="s">
        <v>188</v>
      </c>
      <c r="AF133" t="s">
        <v>63</v>
      </c>
      <c r="AG133" t="s">
        <v>52</v>
      </c>
      <c r="AH133">
        <v>0</v>
      </c>
      <c r="AI133" t="s">
        <v>216</v>
      </c>
      <c r="AJ133" t="s">
        <v>63</v>
      </c>
      <c r="AK133" t="s">
        <v>88</v>
      </c>
    </row>
    <row r="134" spans="1:37" x14ac:dyDescent="0.25">
      <c r="A134" t="s">
        <v>978</v>
      </c>
      <c r="B134" t="str">
        <f t="shared" si="4"/>
        <v>2021</v>
      </c>
      <c r="C134" t="str">
        <f t="shared" si="5"/>
        <v>04</v>
      </c>
      <c r="D134" t="s">
        <v>979</v>
      </c>
      <c r="E134" t="s">
        <v>980</v>
      </c>
      <c r="F134" t="s">
        <v>981</v>
      </c>
      <c r="G134" t="s">
        <v>982</v>
      </c>
      <c r="H134" t="s">
        <v>861</v>
      </c>
      <c r="I134" t="s">
        <v>194</v>
      </c>
      <c r="J134" t="s">
        <v>351</v>
      </c>
      <c r="K134" t="s">
        <v>702</v>
      </c>
      <c r="L134" t="s">
        <v>169</v>
      </c>
      <c r="M134" t="s">
        <v>814</v>
      </c>
      <c r="N134">
        <v>0</v>
      </c>
      <c r="O134" t="s">
        <v>507</v>
      </c>
      <c r="P134" t="s">
        <v>507</v>
      </c>
      <c r="Q134" t="s">
        <v>134</v>
      </c>
      <c r="R134" t="s">
        <v>73</v>
      </c>
      <c r="S134" t="s">
        <v>90</v>
      </c>
      <c r="T134" t="s">
        <v>188</v>
      </c>
      <c r="U134" t="s">
        <v>171</v>
      </c>
      <c r="V134" t="s">
        <v>91</v>
      </c>
      <c r="W134" t="s">
        <v>107</v>
      </c>
      <c r="X134" t="s">
        <v>88</v>
      </c>
      <c r="Y134">
        <v>0</v>
      </c>
      <c r="Z134" t="s">
        <v>63</v>
      </c>
      <c r="AA134" t="s">
        <v>63</v>
      </c>
      <c r="AB134" t="s">
        <v>107</v>
      </c>
      <c r="AC134" t="s">
        <v>63</v>
      </c>
      <c r="AD134" t="s">
        <v>171</v>
      </c>
      <c r="AE134" t="s">
        <v>216</v>
      </c>
      <c r="AF134" t="s">
        <v>63</v>
      </c>
      <c r="AG134" t="s">
        <v>52</v>
      </c>
      <c r="AH134" t="s">
        <v>63</v>
      </c>
      <c r="AI134" t="s">
        <v>188</v>
      </c>
      <c r="AJ134" t="s">
        <v>63</v>
      </c>
      <c r="AK134" t="s">
        <v>88</v>
      </c>
    </row>
    <row r="135" spans="1:37" x14ac:dyDescent="0.25">
      <c r="A135" t="s">
        <v>983</v>
      </c>
      <c r="B135" t="str">
        <f t="shared" si="4"/>
        <v>2021</v>
      </c>
      <c r="C135" t="str">
        <f t="shared" si="5"/>
        <v>05</v>
      </c>
      <c r="D135" t="s">
        <v>984</v>
      </c>
      <c r="E135" t="s">
        <v>985</v>
      </c>
      <c r="F135" t="s">
        <v>986</v>
      </c>
      <c r="G135" t="s">
        <v>987</v>
      </c>
      <c r="H135" t="s">
        <v>79</v>
      </c>
      <c r="I135" t="s">
        <v>633</v>
      </c>
      <c r="J135" t="s">
        <v>308</v>
      </c>
      <c r="K135" t="s">
        <v>988</v>
      </c>
      <c r="L135" t="s">
        <v>407</v>
      </c>
      <c r="M135" t="s">
        <v>249</v>
      </c>
      <c r="N135">
        <v>0</v>
      </c>
      <c r="O135" t="s">
        <v>300</v>
      </c>
      <c r="P135" t="s">
        <v>300</v>
      </c>
      <c r="Q135" t="s">
        <v>106</v>
      </c>
      <c r="R135" t="s">
        <v>73</v>
      </c>
      <c r="S135" t="s">
        <v>134</v>
      </c>
      <c r="T135" t="s">
        <v>113</v>
      </c>
      <c r="U135" t="s">
        <v>216</v>
      </c>
      <c r="V135" t="s">
        <v>104</v>
      </c>
      <c r="W135" t="s">
        <v>107</v>
      </c>
      <c r="X135" t="s">
        <v>73</v>
      </c>
      <c r="Y135">
        <v>0</v>
      </c>
      <c r="Z135" t="s">
        <v>63</v>
      </c>
      <c r="AA135" t="s">
        <v>63</v>
      </c>
      <c r="AB135" t="s">
        <v>104</v>
      </c>
      <c r="AC135" t="s">
        <v>63</v>
      </c>
      <c r="AD135" t="s">
        <v>119</v>
      </c>
      <c r="AE135" t="s">
        <v>52</v>
      </c>
      <c r="AF135" t="s">
        <v>63</v>
      </c>
      <c r="AG135" t="s">
        <v>113</v>
      </c>
      <c r="AH135">
        <v>0</v>
      </c>
      <c r="AI135" t="s">
        <v>188</v>
      </c>
      <c r="AJ135" t="s">
        <v>63</v>
      </c>
      <c r="AK135" t="s">
        <v>104</v>
      </c>
    </row>
    <row r="136" spans="1:37" x14ac:dyDescent="0.25">
      <c r="A136" t="s">
        <v>989</v>
      </c>
      <c r="B136" t="str">
        <f t="shared" si="4"/>
        <v>2021</v>
      </c>
      <c r="C136" t="str">
        <f t="shared" si="5"/>
        <v>06</v>
      </c>
      <c r="D136" t="s">
        <v>990</v>
      </c>
      <c r="E136" t="s">
        <v>871</v>
      </c>
      <c r="F136" t="s">
        <v>991</v>
      </c>
      <c r="G136" t="s">
        <v>992</v>
      </c>
      <c r="H136" t="s">
        <v>112</v>
      </c>
      <c r="I136" t="s">
        <v>375</v>
      </c>
      <c r="J136" t="s">
        <v>393</v>
      </c>
      <c r="K136" t="s">
        <v>329</v>
      </c>
      <c r="L136" t="s">
        <v>556</v>
      </c>
      <c r="M136" t="s">
        <v>488</v>
      </c>
      <c r="N136">
        <v>0</v>
      </c>
      <c r="O136" t="s">
        <v>62</v>
      </c>
      <c r="P136" t="s">
        <v>317</v>
      </c>
      <c r="Q136" t="s">
        <v>53</v>
      </c>
      <c r="R136" t="s">
        <v>107</v>
      </c>
      <c r="S136" t="s">
        <v>42</v>
      </c>
      <c r="T136" t="s">
        <v>52</v>
      </c>
      <c r="U136" t="s">
        <v>216</v>
      </c>
      <c r="V136" t="s">
        <v>104</v>
      </c>
      <c r="W136" t="s">
        <v>91</v>
      </c>
      <c r="X136" t="s">
        <v>88</v>
      </c>
      <c r="Y136">
        <v>0</v>
      </c>
      <c r="Z136" t="s">
        <v>63</v>
      </c>
      <c r="AA136" t="s">
        <v>113</v>
      </c>
      <c r="AB136" t="s">
        <v>120</v>
      </c>
      <c r="AC136" t="s">
        <v>63</v>
      </c>
      <c r="AD136" t="s">
        <v>41</v>
      </c>
      <c r="AE136" t="s">
        <v>113</v>
      </c>
      <c r="AF136" t="s">
        <v>63</v>
      </c>
      <c r="AG136" t="s">
        <v>113</v>
      </c>
      <c r="AH136" t="s">
        <v>63</v>
      </c>
      <c r="AI136" t="s">
        <v>188</v>
      </c>
      <c r="AJ136" t="s">
        <v>63</v>
      </c>
      <c r="AK136" t="s">
        <v>128</v>
      </c>
    </row>
    <row r="137" spans="1:37" x14ac:dyDescent="0.25">
      <c r="A137" t="s">
        <v>993</v>
      </c>
      <c r="B137" t="str">
        <f t="shared" si="4"/>
        <v>2021</v>
      </c>
      <c r="C137" t="str">
        <f t="shared" si="5"/>
        <v>07</v>
      </c>
      <c r="D137" t="s">
        <v>994</v>
      </c>
      <c r="E137" t="s">
        <v>739</v>
      </c>
      <c r="F137" t="s">
        <v>995</v>
      </c>
      <c r="G137" t="s">
        <v>734</v>
      </c>
      <c r="H137" t="s">
        <v>725</v>
      </c>
      <c r="I137" t="s">
        <v>633</v>
      </c>
      <c r="J137" t="s">
        <v>392</v>
      </c>
      <c r="K137" t="s">
        <v>874</v>
      </c>
      <c r="L137" t="s">
        <v>996</v>
      </c>
      <c r="M137" t="s">
        <v>379</v>
      </c>
      <c r="N137">
        <v>0</v>
      </c>
      <c r="O137" t="s">
        <v>316</v>
      </c>
      <c r="P137" t="s">
        <v>316</v>
      </c>
      <c r="Q137" t="s">
        <v>53</v>
      </c>
      <c r="R137" t="s">
        <v>53</v>
      </c>
      <c r="S137" t="s">
        <v>42</v>
      </c>
      <c r="T137" t="s">
        <v>188</v>
      </c>
      <c r="U137" t="s">
        <v>188</v>
      </c>
      <c r="V137" t="s">
        <v>64</v>
      </c>
      <c r="W137" t="s">
        <v>152</v>
      </c>
      <c r="X137" t="s">
        <v>88</v>
      </c>
      <c r="Y137">
        <v>0</v>
      </c>
      <c r="Z137" t="s">
        <v>63</v>
      </c>
      <c r="AA137" t="s">
        <v>63</v>
      </c>
      <c r="AB137" t="s">
        <v>104</v>
      </c>
      <c r="AC137" t="s">
        <v>113</v>
      </c>
      <c r="AD137" t="s">
        <v>41</v>
      </c>
      <c r="AE137" t="s">
        <v>216</v>
      </c>
      <c r="AF137" t="s">
        <v>63</v>
      </c>
      <c r="AG137" t="s">
        <v>113</v>
      </c>
      <c r="AH137" t="s">
        <v>63</v>
      </c>
      <c r="AI137" t="s">
        <v>188</v>
      </c>
      <c r="AJ137" t="s">
        <v>63</v>
      </c>
      <c r="AK137" t="s">
        <v>88</v>
      </c>
    </row>
    <row r="138" spans="1:37" x14ac:dyDescent="0.25">
      <c r="A138" t="s">
        <v>997</v>
      </c>
      <c r="B138" t="str">
        <f t="shared" si="4"/>
        <v>2021</v>
      </c>
      <c r="C138" t="str">
        <f t="shared" si="5"/>
        <v>08</v>
      </c>
      <c r="D138" t="s">
        <v>998</v>
      </c>
      <c r="E138" t="s">
        <v>999</v>
      </c>
      <c r="F138" t="s">
        <v>1000</v>
      </c>
      <c r="G138" t="s">
        <v>716</v>
      </c>
      <c r="H138" t="s">
        <v>1001</v>
      </c>
      <c r="I138" t="s">
        <v>215</v>
      </c>
      <c r="J138" t="s">
        <v>910</v>
      </c>
      <c r="K138" t="s">
        <v>271</v>
      </c>
      <c r="L138" t="s">
        <v>737</v>
      </c>
      <c r="M138" t="s">
        <v>193</v>
      </c>
      <c r="N138">
        <v>0</v>
      </c>
      <c r="O138" t="s">
        <v>316</v>
      </c>
      <c r="P138" t="s">
        <v>45</v>
      </c>
      <c r="Q138" t="s">
        <v>91</v>
      </c>
      <c r="R138" t="s">
        <v>91</v>
      </c>
      <c r="S138" t="s">
        <v>152</v>
      </c>
      <c r="T138" t="s">
        <v>52</v>
      </c>
      <c r="U138" t="s">
        <v>52</v>
      </c>
      <c r="V138" t="s">
        <v>64</v>
      </c>
      <c r="W138" t="s">
        <v>91</v>
      </c>
      <c r="X138" t="s">
        <v>128</v>
      </c>
      <c r="Y138">
        <v>0</v>
      </c>
      <c r="Z138" t="s">
        <v>63</v>
      </c>
      <c r="AA138" t="s">
        <v>63</v>
      </c>
      <c r="AB138" t="s">
        <v>128</v>
      </c>
      <c r="AC138" t="s">
        <v>63</v>
      </c>
      <c r="AD138" t="s">
        <v>119</v>
      </c>
      <c r="AE138" t="s">
        <v>52</v>
      </c>
      <c r="AF138" t="s">
        <v>63</v>
      </c>
      <c r="AG138" t="s">
        <v>113</v>
      </c>
      <c r="AH138" t="s">
        <v>63</v>
      </c>
      <c r="AI138" t="s">
        <v>188</v>
      </c>
      <c r="AJ138" t="s">
        <v>63</v>
      </c>
      <c r="AK138" t="s">
        <v>128</v>
      </c>
    </row>
    <row r="139" spans="1:37" x14ac:dyDescent="0.25">
      <c r="A139" t="s">
        <v>1002</v>
      </c>
      <c r="B139" t="str">
        <f t="shared" si="4"/>
        <v>2021</v>
      </c>
      <c r="C139" t="str">
        <f t="shared" si="5"/>
        <v>09</v>
      </c>
      <c r="D139" t="s">
        <v>1003</v>
      </c>
      <c r="E139" t="s">
        <v>510</v>
      </c>
      <c r="F139" t="s">
        <v>1004</v>
      </c>
      <c r="G139" t="s">
        <v>1005</v>
      </c>
      <c r="H139" t="s">
        <v>1001</v>
      </c>
      <c r="I139" t="s">
        <v>667</v>
      </c>
      <c r="J139" t="s">
        <v>140</v>
      </c>
      <c r="K139" t="s">
        <v>308</v>
      </c>
      <c r="L139" t="s">
        <v>342</v>
      </c>
      <c r="M139" t="s">
        <v>234</v>
      </c>
      <c r="N139">
        <v>0</v>
      </c>
      <c r="O139" t="s">
        <v>62</v>
      </c>
      <c r="P139" t="s">
        <v>40</v>
      </c>
      <c r="Q139" t="s">
        <v>53</v>
      </c>
      <c r="R139" t="s">
        <v>107</v>
      </c>
      <c r="S139" t="s">
        <v>91</v>
      </c>
      <c r="T139" t="s">
        <v>52</v>
      </c>
      <c r="U139" t="s">
        <v>52</v>
      </c>
      <c r="V139" t="s">
        <v>104</v>
      </c>
      <c r="W139" t="s">
        <v>91</v>
      </c>
      <c r="X139" t="s">
        <v>128</v>
      </c>
      <c r="Y139">
        <v>0</v>
      </c>
      <c r="Z139" t="s">
        <v>63</v>
      </c>
      <c r="AA139" t="s">
        <v>63</v>
      </c>
      <c r="AB139" t="s">
        <v>104</v>
      </c>
      <c r="AC139" t="s">
        <v>63</v>
      </c>
      <c r="AD139" t="s">
        <v>119</v>
      </c>
      <c r="AE139" t="s">
        <v>113</v>
      </c>
      <c r="AF139">
        <v>0</v>
      </c>
      <c r="AG139" t="s">
        <v>113</v>
      </c>
      <c r="AH139" t="s">
        <v>63</v>
      </c>
      <c r="AI139" t="s">
        <v>188</v>
      </c>
      <c r="AJ139" t="s">
        <v>63</v>
      </c>
      <c r="AK139" t="s">
        <v>64</v>
      </c>
    </row>
    <row r="140" spans="1:37" x14ac:dyDescent="0.25">
      <c r="A140" t="s">
        <v>1006</v>
      </c>
      <c r="B140" t="str">
        <f t="shared" si="4"/>
        <v>2021</v>
      </c>
      <c r="C140" t="str">
        <f t="shared" si="5"/>
        <v>10</v>
      </c>
      <c r="D140" t="s">
        <v>1007</v>
      </c>
      <c r="E140" t="s">
        <v>1008</v>
      </c>
      <c r="F140" t="s">
        <v>1009</v>
      </c>
      <c r="G140" t="s">
        <v>1010</v>
      </c>
      <c r="H140" t="s">
        <v>1011</v>
      </c>
      <c r="I140" t="s">
        <v>611</v>
      </c>
      <c r="J140" t="s">
        <v>471</v>
      </c>
      <c r="K140" t="s">
        <v>278</v>
      </c>
      <c r="L140" t="s">
        <v>314</v>
      </c>
      <c r="M140" t="s">
        <v>435</v>
      </c>
      <c r="N140">
        <v>0</v>
      </c>
      <c r="O140" t="s">
        <v>353</v>
      </c>
      <c r="P140" t="s">
        <v>51</v>
      </c>
      <c r="Q140" t="s">
        <v>88</v>
      </c>
      <c r="R140" t="s">
        <v>91</v>
      </c>
      <c r="S140" t="s">
        <v>106</v>
      </c>
      <c r="T140" t="s">
        <v>113</v>
      </c>
      <c r="U140" t="s">
        <v>52</v>
      </c>
      <c r="V140" t="s">
        <v>152</v>
      </c>
      <c r="W140" t="s">
        <v>107</v>
      </c>
      <c r="X140" t="s">
        <v>64</v>
      </c>
      <c r="Y140">
        <v>0</v>
      </c>
      <c r="Z140">
        <v>0</v>
      </c>
      <c r="AA140" t="s">
        <v>63</v>
      </c>
      <c r="AB140" t="s">
        <v>128</v>
      </c>
      <c r="AC140" t="s">
        <v>63</v>
      </c>
      <c r="AD140" t="s">
        <v>171</v>
      </c>
      <c r="AE140" t="s">
        <v>113</v>
      </c>
      <c r="AF140" t="s">
        <v>63</v>
      </c>
      <c r="AG140" t="s">
        <v>113</v>
      </c>
      <c r="AH140" t="s">
        <v>63</v>
      </c>
      <c r="AI140" t="s">
        <v>188</v>
      </c>
      <c r="AJ140" t="s">
        <v>63</v>
      </c>
      <c r="AK140" t="s">
        <v>64</v>
      </c>
    </row>
    <row r="141" spans="1:37" x14ac:dyDescent="0.25">
      <c r="A141" t="s">
        <v>1012</v>
      </c>
      <c r="B141" t="str">
        <f t="shared" si="4"/>
        <v>2021</v>
      </c>
      <c r="C141" t="str">
        <f t="shared" si="5"/>
        <v>11</v>
      </c>
      <c r="D141" t="s">
        <v>1013</v>
      </c>
      <c r="E141" t="s">
        <v>1014</v>
      </c>
      <c r="F141" t="s">
        <v>1015</v>
      </c>
      <c r="G141" t="s">
        <v>1016</v>
      </c>
      <c r="H141" t="s">
        <v>1017</v>
      </c>
      <c r="I141" t="s">
        <v>578</v>
      </c>
      <c r="J141" t="s">
        <v>127</v>
      </c>
      <c r="K141" t="s">
        <v>299</v>
      </c>
      <c r="L141" t="s">
        <v>140</v>
      </c>
      <c r="M141" t="s">
        <v>224</v>
      </c>
      <c r="N141">
        <v>0</v>
      </c>
      <c r="O141" t="s">
        <v>300</v>
      </c>
      <c r="P141" t="s">
        <v>51</v>
      </c>
      <c r="Q141" t="s">
        <v>128</v>
      </c>
      <c r="R141" t="s">
        <v>91</v>
      </c>
      <c r="S141" t="s">
        <v>51</v>
      </c>
      <c r="T141" t="s">
        <v>52</v>
      </c>
      <c r="U141" t="s">
        <v>113</v>
      </c>
      <c r="V141" t="s">
        <v>107</v>
      </c>
      <c r="W141" t="s">
        <v>73</v>
      </c>
      <c r="X141" t="s">
        <v>64</v>
      </c>
      <c r="Y141">
        <v>0</v>
      </c>
      <c r="Z141" t="s">
        <v>63</v>
      </c>
      <c r="AA141" t="s">
        <v>63</v>
      </c>
      <c r="AB141" t="s">
        <v>107</v>
      </c>
      <c r="AC141" t="s">
        <v>63</v>
      </c>
      <c r="AD141" t="s">
        <v>171</v>
      </c>
      <c r="AE141" t="s">
        <v>52</v>
      </c>
      <c r="AF141" t="s">
        <v>63</v>
      </c>
      <c r="AG141" t="s">
        <v>113</v>
      </c>
      <c r="AH141" t="s">
        <v>63</v>
      </c>
      <c r="AI141" t="s">
        <v>188</v>
      </c>
      <c r="AJ141" t="s">
        <v>63</v>
      </c>
      <c r="AK141" t="s">
        <v>64</v>
      </c>
    </row>
    <row r="142" spans="1:37" x14ac:dyDescent="0.25">
      <c r="A142" t="s">
        <v>1018</v>
      </c>
      <c r="B142" t="str">
        <f t="shared" si="4"/>
        <v>2021</v>
      </c>
      <c r="C142" t="str">
        <f t="shared" si="5"/>
        <v>12</v>
      </c>
      <c r="D142" t="s">
        <v>1019</v>
      </c>
      <c r="E142" t="s">
        <v>1019</v>
      </c>
      <c r="F142" t="s">
        <v>1020</v>
      </c>
      <c r="G142" t="s">
        <v>782</v>
      </c>
      <c r="H142" t="s">
        <v>805</v>
      </c>
      <c r="I142" t="s">
        <v>215</v>
      </c>
      <c r="J142" t="s">
        <v>409</v>
      </c>
      <c r="K142" t="s">
        <v>279</v>
      </c>
      <c r="L142" t="s">
        <v>285</v>
      </c>
      <c r="M142" t="s">
        <v>435</v>
      </c>
      <c r="N142">
        <v>0</v>
      </c>
      <c r="O142" t="s">
        <v>62</v>
      </c>
      <c r="P142" t="s">
        <v>126</v>
      </c>
      <c r="Q142" t="s">
        <v>104</v>
      </c>
      <c r="R142" t="s">
        <v>152</v>
      </c>
      <c r="S142" t="s">
        <v>789</v>
      </c>
      <c r="T142" t="s">
        <v>52</v>
      </c>
      <c r="U142" t="s">
        <v>52</v>
      </c>
      <c r="V142" t="s">
        <v>120</v>
      </c>
      <c r="W142" t="s">
        <v>73</v>
      </c>
      <c r="X142" t="s">
        <v>128</v>
      </c>
      <c r="Y142">
        <v>0</v>
      </c>
      <c r="Z142" t="s">
        <v>63</v>
      </c>
      <c r="AA142" t="s">
        <v>63</v>
      </c>
      <c r="AB142" t="s">
        <v>104</v>
      </c>
      <c r="AC142" t="s">
        <v>63</v>
      </c>
      <c r="AD142" t="s">
        <v>171</v>
      </c>
      <c r="AE142" t="s">
        <v>113</v>
      </c>
      <c r="AF142" t="s">
        <v>63</v>
      </c>
      <c r="AG142" t="s">
        <v>113</v>
      </c>
      <c r="AH142" t="s">
        <v>63</v>
      </c>
      <c r="AI142" t="s">
        <v>52</v>
      </c>
      <c r="AJ142">
        <v>0</v>
      </c>
      <c r="AK142" t="s">
        <v>41</v>
      </c>
    </row>
    <row r="143" spans="1:37" x14ac:dyDescent="0.25">
      <c r="A143" t="s">
        <v>1021</v>
      </c>
      <c r="B143" t="str">
        <f t="shared" si="4"/>
        <v>2022</v>
      </c>
      <c r="C143" t="str">
        <f t="shared" si="5"/>
        <v>01</v>
      </c>
      <c r="D143" t="s">
        <v>1022</v>
      </c>
      <c r="E143" t="s">
        <v>1023</v>
      </c>
      <c r="F143" t="s">
        <v>1024</v>
      </c>
      <c r="G143" t="s">
        <v>1025</v>
      </c>
      <c r="H143" t="s">
        <v>1026</v>
      </c>
      <c r="I143" t="s">
        <v>636</v>
      </c>
      <c r="J143" t="s">
        <v>366</v>
      </c>
      <c r="K143" t="s">
        <v>660</v>
      </c>
      <c r="L143" t="s">
        <v>769</v>
      </c>
      <c r="M143" t="s">
        <v>286</v>
      </c>
      <c r="N143">
        <v>0</v>
      </c>
      <c r="O143" t="s">
        <v>90</v>
      </c>
      <c r="P143" t="s">
        <v>42</v>
      </c>
      <c r="Q143" t="s">
        <v>119</v>
      </c>
      <c r="R143" t="s">
        <v>107</v>
      </c>
      <c r="S143" t="s">
        <v>127</v>
      </c>
      <c r="T143" t="s">
        <v>171</v>
      </c>
      <c r="U143" t="s">
        <v>113</v>
      </c>
      <c r="V143" t="s">
        <v>171</v>
      </c>
      <c r="W143" t="s">
        <v>73</v>
      </c>
      <c r="X143" t="s">
        <v>128</v>
      </c>
      <c r="Y143">
        <v>0</v>
      </c>
      <c r="Z143" t="s">
        <v>63</v>
      </c>
      <c r="AA143">
        <v>0</v>
      </c>
      <c r="AB143" t="s">
        <v>119</v>
      </c>
      <c r="AC143" t="s">
        <v>63</v>
      </c>
      <c r="AD143" t="s">
        <v>216</v>
      </c>
      <c r="AE143" t="s">
        <v>63</v>
      </c>
      <c r="AF143">
        <v>0</v>
      </c>
      <c r="AG143" t="s">
        <v>113</v>
      </c>
      <c r="AH143" t="s">
        <v>63</v>
      </c>
      <c r="AI143" t="s">
        <v>113</v>
      </c>
      <c r="AJ143">
        <v>0</v>
      </c>
      <c r="AK143" t="s">
        <v>119</v>
      </c>
    </row>
    <row r="144" spans="1:37" x14ac:dyDescent="0.25">
      <c r="A144" t="s">
        <v>1027</v>
      </c>
      <c r="B144" t="str">
        <f t="shared" si="4"/>
        <v>2022</v>
      </c>
      <c r="C144" t="str">
        <f t="shared" si="5"/>
        <v>02</v>
      </c>
      <c r="D144" t="s">
        <v>1028</v>
      </c>
      <c r="E144" t="s">
        <v>1029</v>
      </c>
      <c r="F144" t="s">
        <v>1030</v>
      </c>
      <c r="G144" t="s">
        <v>848</v>
      </c>
      <c r="H144" t="s">
        <v>1031</v>
      </c>
      <c r="I144" t="s">
        <v>517</v>
      </c>
      <c r="J144" t="s">
        <v>622</v>
      </c>
      <c r="K144" t="s">
        <v>589</v>
      </c>
      <c r="L144" t="s">
        <v>450</v>
      </c>
      <c r="M144" t="s">
        <v>72</v>
      </c>
      <c r="N144">
        <v>0</v>
      </c>
      <c r="O144" t="s">
        <v>226</v>
      </c>
      <c r="P144" t="s">
        <v>66</v>
      </c>
      <c r="Q144" t="s">
        <v>41</v>
      </c>
      <c r="R144" t="s">
        <v>73</v>
      </c>
      <c r="S144" t="s">
        <v>279</v>
      </c>
      <c r="T144" t="s">
        <v>120</v>
      </c>
      <c r="U144" t="s">
        <v>63</v>
      </c>
      <c r="V144" t="s">
        <v>216</v>
      </c>
      <c r="W144" t="s">
        <v>73</v>
      </c>
      <c r="X144" t="s">
        <v>128</v>
      </c>
      <c r="Y144">
        <v>0</v>
      </c>
      <c r="Z144" t="s">
        <v>63</v>
      </c>
      <c r="AA144">
        <v>0</v>
      </c>
      <c r="AB144" t="s">
        <v>171</v>
      </c>
      <c r="AC144">
        <v>0</v>
      </c>
      <c r="AD144" t="s">
        <v>216</v>
      </c>
      <c r="AE144" t="s">
        <v>63</v>
      </c>
      <c r="AF144">
        <v>0</v>
      </c>
      <c r="AG144" t="s">
        <v>63</v>
      </c>
      <c r="AH144" t="s">
        <v>63</v>
      </c>
      <c r="AI144" t="s">
        <v>113</v>
      </c>
      <c r="AJ144" t="s">
        <v>63</v>
      </c>
      <c r="AK144" t="s">
        <v>119</v>
      </c>
    </row>
    <row r="145" spans="1:37" x14ac:dyDescent="0.25">
      <c r="A145" t="s">
        <v>1032</v>
      </c>
      <c r="B145" t="str">
        <f t="shared" si="4"/>
        <v>2022</v>
      </c>
      <c r="C145" t="str">
        <f t="shared" si="5"/>
        <v>03</v>
      </c>
      <c r="D145" t="s">
        <v>1029</v>
      </c>
      <c r="E145" t="s">
        <v>1033</v>
      </c>
      <c r="F145" t="s">
        <v>1034</v>
      </c>
      <c r="G145" t="s">
        <v>1035</v>
      </c>
      <c r="H145" t="s">
        <v>1036</v>
      </c>
      <c r="I145" t="s">
        <v>752</v>
      </c>
      <c r="J145" t="s">
        <v>461</v>
      </c>
      <c r="K145" t="s">
        <v>660</v>
      </c>
      <c r="L145" t="s">
        <v>232</v>
      </c>
      <c r="M145" t="s">
        <v>353</v>
      </c>
      <c r="N145">
        <v>0</v>
      </c>
      <c r="O145" t="s">
        <v>317</v>
      </c>
      <c r="P145" t="s">
        <v>106</v>
      </c>
      <c r="Q145" t="s">
        <v>171</v>
      </c>
      <c r="R145" t="s">
        <v>91</v>
      </c>
      <c r="S145" t="s">
        <v>835</v>
      </c>
      <c r="T145" t="s">
        <v>104</v>
      </c>
      <c r="U145" t="s">
        <v>113</v>
      </c>
      <c r="V145" t="s">
        <v>171</v>
      </c>
      <c r="W145" t="s">
        <v>128</v>
      </c>
      <c r="X145" t="s">
        <v>64</v>
      </c>
      <c r="Y145">
        <v>0</v>
      </c>
      <c r="Z145">
        <v>0</v>
      </c>
      <c r="AA145" t="s">
        <v>63</v>
      </c>
      <c r="AB145" t="s">
        <v>41</v>
      </c>
      <c r="AC145" t="s">
        <v>63</v>
      </c>
      <c r="AD145" t="s">
        <v>188</v>
      </c>
      <c r="AE145" t="s">
        <v>113</v>
      </c>
      <c r="AF145">
        <v>0</v>
      </c>
      <c r="AG145" t="s">
        <v>113</v>
      </c>
      <c r="AH145">
        <v>0</v>
      </c>
      <c r="AI145" t="s">
        <v>113</v>
      </c>
      <c r="AJ145">
        <v>0</v>
      </c>
      <c r="AK145" t="s">
        <v>119</v>
      </c>
    </row>
    <row r="146" spans="1:37" x14ac:dyDescent="0.25">
      <c r="A146" t="s">
        <v>1037</v>
      </c>
      <c r="B146" t="str">
        <f t="shared" si="4"/>
        <v>2022</v>
      </c>
      <c r="C146" t="str">
        <f t="shared" si="5"/>
        <v>04</v>
      </c>
      <c r="D146" t="s">
        <v>519</v>
      </c>
      <c r="E146" t="s">
        <v>1038</v>
      </c>
      <c r="F146" t="s">
        <v>1039</v>
      </c>
      <c r="G146" t="s">
        <v>1040</v>
      </c>
      <c r="H146" t="s">
        <v>1041</v>
      </c>
      <c r="I146" t="s">
        <v>807</v>
      </c>
      <c r="J146" t="s">
        <v>644</v>
      </c>
      <c r="K146" t="s">
        <v>706</v>
      </c>
      <c r="L146" t="s">
        <v>307</v>
      </c>
      <c r="M146" t="s">
        <v>234</v>
      </c>
      <c r="N146">
        <v>0</v>
      </c>
      <c r="O146" t="s">
        <v>317</v>
      </c>
      <c r="P146" t="s">
        <v>106</v>
      </c>
      <c r="Q146" t="s">
        <v>171</v>
      </c>
      <c r="R146" t="s">
        <v>91</v>
      </c>
      <c r="S146" t="s">
        <v>360</v>
      </c>
      <c r="T146" t="s">
        <v>88</v>
      </c>
      <c r="U146" t="s">
        <v>113</v>
      </c>
      <c r="V146" t="s">
        <v>119</v>
      </c>
      <c r="W146" t="s">
        <v>88</v>
      </c>
      <c r="X146" t="s">
        <v>64</v>
      </c>
      <c r="Y146">
        <v>0</v>
      </c>
      <c r="Z146">
        <v>0</v>
      </c>
      <c r="AA146">
        <v>0</v>
      </c>
      <c r="AB146" t="s">
        <v>120</v>
      </c>
      <c r="AC146" t="s">
        <v>63</v>
      </c>
      <c r="AD146" t="s">
        <v>188</v>
      </c>
      <c r="AE146" t="s">
        <v>188</v>
      </c>
      <c r="AF146">
        <v>0</v>
      </c>
      <c r="AG146" t="s">
        <v>52</v>
      </c>
      <c r="AH146">
        <v>0</v>
      </c>
      <c r="AI146" t="s">
        <v>113</v>
      </c>
      <c r="AJ146">
        <v>0</v>
      </c>
      <c r="AK146" t="s">
        <v>41</v>
      </c>
    </row>
    <row r="147" spans="1:37" x14ac:dyDescent="0.25">
      <c r="A147" t="s">
        <v>1042</v>
      </c>
      <c r="B147" t="str">
        <f t="shared" si="4"/>
        <v>2022</v>
      </c>
      <c r="C147" t="str">
        <f t="shared" si="5"/>
        <v>05</v>
      </c>
      <c r="D147" t="s">
        <v>1043</v>
      </c>
      <c r="E147" t="s">
        <v>1044</v>
      </c>
      <c r="F147" t="s">
        <v>1045</v>
      </c>
      <c r="G147" t="s">
        <v>1046</v>
      </c>
      <c r="H147" t="s">
        <v>1047</v>
      </c>
      <c r="I147" t="s">
        <v>185</v>
      </c>
      <c r="J147" t="s">
        <v>726</v>
      </c>
      <c r="K147" t="s">
        <v>752</v>
      </c>
      <c r="L147" t="s">
        <v>606</v>
      </c>
      <c r="M147" t="s">
        <v>242</v>
      </c>
      <c r="N147">
        <v>0</v>
      </c>
      <c r="O147" t="s">
        <v>241</v>
      </c>
      <c r="P147" t="s">
        <v>152</v>
      </c>
      <c r="Q147" t="s">
        <v>216</v>
      </c>
      <c r="R147" t="s">
        <v>128</v>
      </c>
      <c r="S147" t="s">
        <v>72</v>
      </c>
      <c r="T147" t="s">
        <v>88</v>
      </c>
      <c r="U147" t="s">
        <v>63</v>
      </c>
      <c r="V147" t="s">
        <v>52</v>
      </c>
      <c r="W147" t="s">
        <v>64</v>
      </c>
      <c r="X147" t="s">
        <v>120</v>
      </c>
      <c r="Y147">
        <v>0</v>
      </c>
      <c r="Z147">
        <v>0</v>
      </c>
      <c r="AA147">
        <v>0</v>
      </c>
      <c r="AB147" t="s">
        <v>41</v>
      </c>
      <c r="AC147" t="s">
        <v>63</v>
      </c>
      <c r="AD147" t="s">
        <v>52</v>
      </c>
      <c r="AE147" t="s">
        <v>63</v>
      </c>
      <c r="AF147">
        <v>0</v>
      </c>
      <c r="AG147" t="s">
        <v>113</v>
      </c>
      <c r="AH147">
        <v>0</v>
      </c>
      <c r="AI147" t="s">
        <v>113</v>
      </c>
      <c r="AJ147">
        <v>0</v>
      </c>
      <c r="AK147" t="s">
        <v>216</v>
      </c>
    </row>
    <row r="148" spans="1:37" x14ac:dyDescent="0.25">
      <c r="A148" t="s">
        <v>1048</v>
      </c>
      <c r="B148" t="str">
        <f t="shared" si="4"/>
        <v>2022</v>
      </c>
      <c r="C148" t="str">
        <f t="shared" si="5"/>
        <v>06</v>
      </c>
      <c r="D148" t="s">
        <v>1049</v>
      </c>
      <c r="E148" t="s">
        <v>1050</v>
      </c>
      <c r="F148" t="s">
        <v>1051</v>
      </c>
      <c r="G148" t="s">
        <v>1052</v>
      </c>
      <c r="H148" t="s">
        <v>162</v>
      </c>
      <c r="I148" t="s">
        <v>248</v>
      </c>
      <c r="J148" t="s">
        <v>635</v>
      </c>
      <c r="K148" t="s">
        <v>432</v>
      </c>
      <c r="L148" t="s">
        <v>690</v>
      </c>
      <c r="M148" t="s">
        <v>51</v>
      </c>
      <c r="N148">
        <v>0</v>
      </c>
      <c r="O148" t="s">
        <v>40</v>
      </c>
      <c r="P148" t="s">
        <v>91</v>
      </c>
      <c r="Q148" t="s">
        <v>188</v>
      </c>
      <c r="R148" t="s">
        <v>128</v>
      </c>
      <c r="S148" t="s">
        <v>53</v>
      </c>
      <c r="T148" t="s">
        <v>73</v>
      </c>
      <c r="U148" t="s">
        <v>63</v>
      </c>
      <c r="V148" t="s">
        <v>113</v>
      </c>
      <c r="W148" t="s">
        <v>64</v>
      </c>
      <c r="X148" t="s">
        <v>41</v>
      </c>
      <c r="Y148">
        <v>0</v>
      </c>
      <c r="Z148">
        <v>0</v>
      </c>
      <c r="AA148">
        <v>0</v>
      </c>
      <c r="AB148" t="s">
        <v>171</v>
      </c>
      <c r="AC148">
        <v>0</v>
      </c>
      <c r="AD148" t="s">
        <v>113</v>
      </c>
      <c r="AE148">
        <v>0</v>
      </c>
      <c r="AF148">
        <v>0</v>
      </c>
      <c r="AG148" t="s">
        <v>63</v>
      </c>
      <c r="AH148">
        <v>0</v>
      </c>
      <c r="AI148" t="s">
        <v>113</v>
      </c>
      <c r="AJ148">
        <v>0</v>
      </c>
      <c r="AK148" t="s">
        <v>188</v>
      </c>
    </row>
    <row r="149" spans="1:37" x14ac:dyDescent="0.25">
      <c r="A149" t="s">
        <v>1053</v>
      </c>
      <c r="B149" t="str">
        <f t="shared" si="4"/>
        <v>2022</v>
      </c>
      <c r="C149" t="str">
        <f t="shared" si="5"/>
        <v>07</v>
      </c>
      <c r="D149" t="s">
        <v>1054</v>
      </c>
      <c r="E149" t="s">
        <v>1055</v>
      </c>
      <c r="F149" t="s">
        <v>1056</v>
      </c>
      <c r="G149" t="s">
        <v>1057</v>
      </c>
      <c r="H149" t="s">
        <v>1058</v>
      </c>
      <c r="I149" t="s">
        <v>177</v>
      </c>
      <c r="J149" t="s">
        <v>557</v>
      </c>
      <c r="K149" t="s">
        <v>432</v>
      </c>
      <c r="L149" t="s">
        <v>208</v>
      </c>
      <c r="M149" t="s">
        <v>75</v>
      </c>
      <c r="N149">
        <v>0</v>
      </c>
      <c r="O149" t="s">
        <v>90</v>
      </c>
      <c r="P149" t="s">
        <v>91</v>
      </c>
      <c r="Q149" t="s">
        <v>188</v>
      </c>
      <c r="R149" t="s">
        <v>104</v>
      </c>
      <c r="S149" t="s">
        <v>106</v>
      </c>
      <c r="T149" t="s">
        <v>107</v>
      </c>
      <c r="U149" t="s">
        <v>63</v>
      </c>
      <c r="V149" t="s">
        <v>52</v>
      </c>
      <c r="W149" t="s">
        <v>64</v>
      </c>
      <c r="X149" t="s">
        <v>120</v>
      </c>
      <c r="Y149">
        <v>0</v>
      </c>
      <c r="Z149">
        <v>0</v>
      </c>
      <c r="AA149">
        <v>0</v>
      </c>
      <c r="AB149" t="s">
        <v>171</v>
      </c>
      <c r="AC149">
        <v>0</v>
      </c>
      <c r="AD149" t="s">
        <v>113</v>
      </c>
      <c r="AE149">
        <v>0</v>
      </c>
      <c r="AF149">
        <v>0</v>
      </c>
      <c r="AG149" t="s">
        <v>63</v>
      </c>
      <c r="AH149">
        <v>0</v>
      </c>
      <c r="AI149" t="s">
        <v>63</v>
      </c>
      <c r="AJ149">
        <v>0</v>
      </c>
      <c r="AK149" t="s">
        <v>188</v>
      </c>
    </row>
    <row r="150" spans="1:37" x14ac:dyDescent="0.25">
      <c r="A150" t="s">
        <v>1059</v>
      </c>
      <c r="B150" t="str">
        <f t="shared" si="4"/>
        <v>2022</v>
      </c>
      <c r="C150" t="str">
        <f t="shared" si="5"/>
        <v>08</v>
      </c>
      <c r="D150" t="s">
        <v>1060</v>
      </c>
      <c r="E150" t="s">
        <v>1061</v>
      </c>
      <c r="F150" t="s">
        <v>1062</v>
      </c>
      <c r="G150" t="s">
        <v>1063</v>
      </c>
      <c r="H150" t="s">
        <v>1064</v>
      </c>
      <c r="I150" t="s">
        <v>814</v>
      </c>
      <c r="J150" t="s">
        <v>245</v>
      </c>
      <c r="K150" t="s">
        <v>807</v>
      </c>
      <c r="L150" t="s">
        <v>690</v>
      </c>
      <c r="M150" t="s">
        <v>75</v>
      </c>
      <c r="N150">
        <v>0</v>
      </c>
      <c r="O150" t="s">
        <v>40</v>
      </c>
      <c r="P150" t="s">
        <v>91</v>
      </c>
      <c r="Q150" t="s">
        <v>188</v>
      </c>
      <c r="R150" t="s">
        <v>88</v>
      </c>
      <c r="S150" t="s">
        <v>103</v>
      </c>
      <c r="T150" t="s">
        <v>107</v>
      </c>
      <c r="U150" t="s">
        <v>63</v>
      </c>
      <c r="V150" t="s">
        <v>188</v>
      </c>
      <c r="W150" t="s">
        <v>104</v>
      </c>
      <c r="X150" t="s">
        <v>64</v>
      </c>
      <c r="Y150">
        <v>0</v>
      </c>
      <c r="Z150">
        <v>0</v>
      </c>
      <c r="AA150">
        <v>0</v>
      </c>
      <c r="AB150" t="s">
        <v>120</v>
      </c>
      <c r="AC150" t="s">
        <v>63</v>
      </c>
      <c r="AD150" t="s">
        <v>113</v>
      </c>
      <c r="AE150" t="s">
        <v>63</v>
      </c>
      <c r="AF150">
        <v>0</v>
      </c>
      <c r="AG150" t="s">
        <v>113</v>
      </c>
      <c r="AH150">
        <v>0</v>
      </c>
      <c r="AI150" t="s">
        <v>113</v>
      </c>
      <c r="AJ150">
        <v>0</v>
      </c>
      <c r="AK150" t="s">
        <v>216</v>
      </c>
    </row>
    <row r="151" spans="1:37" x14ac:dyDescent="0.25">
      <c r="A151" t="s">
        <v>1065</v>
      </c>
      <c r="B151" t="str">
        <f t="shared" si="4"/>
        <v>2022</v>
      </c>
      <c r="C151" t="str">
        <f t="shared" si="5"/>
        <v>09</v>
      </c>
      <c r="D151" t="s">
        <v>1066</v>
      </c>
      <c r="E151" t="s">
        <v>1067</v>
      </c>
      <c r="F151" t="s">
        <v>1068</v>
      </c>
      <c r="G151" t="s">
        <v>1069</v>
      </c>
      <c r="H151" t="s">
        <v>1070</v>
      </c>
      <c r="I151" t="s">
        <v>248</v>
      </c>
      <c r="J151" t="s">
        <v>680</v>
      </c>
      <c r="K151" t="s">
        <v>517</v>
      </c>
      <c r="L151" t="s">
        <v>442</v>
      </c>
      <c r="M151" t="s">
        <v>103</v>
      </c>
      <c r="N151" t="s">
        <v>353</v>
      </c>
      <c r="O151" t="s">
        <v>40</v>
      </c>
      <c r="P151" t="s">
        <v>107</v>
      </c>
      <c r="Q151" t="s">
        <v>188</v>
      </c>
      <c r="R151" t="s">
        <v>128</v>
      </c>
      <c r="S151" t="s">
        <v>378</v>
      </c>
      <c r="T151" t="s">
        <v>152</v>
      </c>
      <c r="U151" t="s">
        <v>63</v>
      </c>
      <c r="V151" t="s">
        <v>52</v>
      </c>
      <c r="W151" t="s">
        <v>120</v>
      </c>
      <c r="X151" t="s">
        <v>41</v>
      </c>
      <c r="Y151">
        <v>0</v>
      </c>
      <c r="Z151">
        <v>0</v>
      </c>
      <c r="AA151" t="s">
        <v>63</v>
      </c>
      <c r="AB151" t="s">
        <v>120</v>
      </c>
      <c r="AC151">
        <v>0</v>
      </c>
      <c r="AD151" t="s">
        <v>113</v>
      </c>
      <c r="AE151" t="s">
        <v>63</v>
      </c>
      <c r="AF151">
        <v>0</v>
      </c>
      <c r="AG151" t="s">
        <v>63</v>
      </c>
      <c r="AH151">
        <v>0</v>
      </c>
      <c r="AI151" t="s">
        <v>63</v>
      </c>
      <c r="AJ151">
        <v>0</v>
      </c>
      <c r="AK151" t="s">
        <v>188</v>
      </c>
    </row>
    <row r="152" spans="1:37" x14ac:dyDescent="0.25">
      <c r="A152" t="s">
        <v>1071</v>
      </c>
      <c r="B152" t="str">
        <f t="shared" si="4"/>
        <v>2022</v>
      </c>
      <c r="C152" t="str">
        <f t="shared" si="5"/>
        <v>10</v>
      </c>
      <c r="D152" t="s">
        <v>1072</v>
      </c>
      <c r="E152" t="s">
        <v>1073</v>
      </c>
      <c r="F152" t="s">
        <v>1074</v>
      </c>
      <c r="G152" t="s">
        <v>1075</v>
      </c>
      <c r="H152" t="s">
        <v>1076</v>
      </c>
      <c r="I152" t="s">
        <v>343</v>
      </c>
      <c r="J152" t="s">
        <v>585</v>
      </c>
      <c r="K152" t="s">
        <v>343</v>
      </c>
      <c r="L152" t="s">
        <v>660</v>
      </c>
      <c r="M152" t="s">
        <v>378</v>
      </c>
      <c r="N152" t="s">
        <v>807</v>
      </c>
      <c r="O152" t="s">
        <v>134</v>
      </c>
      <c r="P152" t="s">
        <v>104</v>
      </c>
      <c r="Q152" t="s">
        <v>52</v>
      </c>
      <c r="R152" t="s">
        <v>64</v>
      </c>
      <c r="S152" t="s">
        <v>128</v>
      </c>
      <c r="T152" t="s">
        <v>91</v>
      </c>
      <c r="U152" t="s">
        <v>63</v>
      </c>
      <c r="V152" t="s">
        <v>52</v>
      </c>
      <c r="W152" t="s">
        <v>64</v>
      </c>
      <c r="X152" t="s">
        <v>64</v>
      </c>
      <c r="Y152">
        <v>0</v>
      </c>
      <c r="Z152">
        <v>0</v>
      </c>
      <c r="AA152">
        <v>0</v>
      </c>
      <c r="AB152" t="s">
        <v>104</v>
      </c>
      <c r="AC152">
        <v>0</v>
      </c>
      <c r="AD152" t="s">
        <v>113</v>
      </c>
      <c r="AE152" t="s">
        <v>63</v>
      </c>
      <c r="AF152">
        <v>0</v>
      </c>
      <c r="AG152" t="s">
        <v>63</v>
      </c>
      <c r="AH152">
        <v>0</v>
      </c>
      <c r="AI152" t="s">
        <v>63</v>
      </c>
      <c r="AJ152">
        <v>0</v>
      </c>
      <c r="AK152" t="s">
        <v>52</v>
      </c>
    </row>
    <row r="153" spans="1:37" x14ac:dyDescent="0.25">
      <c r="A153" t="s">
        <v>1077</v>
      </c>
      <c r="B153" t="str">
        <f t="shared" si="4"/>
        <v>2022</v>
      </c>
      <c r="C153" t="str">
        <f t="shared" si="5"/>
        <v>11</v>
      </c>
      <c r="D153" t="s">
        <v>1078</v>
      </c>
      <c r="E153" t="s">
        <v>1079</v>
      </c>
      <c r="F153" t="s">
        <v>1080</v>
      </c>
      <c r="G153" t="s">
        <v>1081</v>
      </c>
      <c r="H153" t="s">
        <v>1082</v>
      </c>
      <c r="I153" t="s">
        <v>226</v>
      </c>
      <c r="J153" t="s">
        <v>1083</v>
      </c>
      <c r="K153" t="s">
        <v>410</v>
      </c>
      <c r="L153" t="s">
        <v>185</v>
      </c>
      <c r="M153" t="s">
        <v>53</v>
      </c>
      <c r="N153" t="s">
        <v>589</v>
      </c>
      <c r="O153" t="s">
        <v>106</v>
      </c>
      <c r="P153" t="s">
        <v>120</v>
      </c>
      <c r="Q153" t="s">
        <v>52</v>
      </c>
      <c r="R153" t="s">
        <v>120</v>
      </c>
      <c r="S153" t="s">
        <v>120</v>
      </c>
      <c r="T153" t="s">
        <v>152</v>
      </c>
      <c r="U153" t="s">
        <v>63</v>
      </c>
      <c r="V153" t="s">
        <v>113</v>
      </c>
      <c r="W153" t="s">
        <v>104</v>
      </c>
      <c r="X153" t="s">
        <v>104</v>
      </c>
      <c r="Y153">
        <v>0</v>
      </c>
      <c r="Z153">
        <v>0</v>
      </c>
      <c r="AA153">
        <v>0</v>
      </c>
      <c r="AB153" t="s">
        <v>119</v>
      </c>
      <c r="AC153">
        <v>0</v>
      </c>
      <c r="AD153" t="s">
        <v>113</v>
      </c>
      <c r="AE153" t="s">
        <v>63</v>
      </c>
      <c r="AF153">
        <v>0</v>
      </c>
      <c r="AG153" t="s">
        <v>63</v>
      </c>
      <c r="AH153">
        <v>0</v>
      </c>
      <c r="AI153" t="s">
        <v>63</v>
      </c>
      <c r="AJ153">
        <v>0</v>
      </c>
      <c r="AK153" t="s">
        <v>52</v>
      </c>
    </row>
    <row r="154" spans="1:37" x14ac:dyDescent="0.25">
      <c r="A154" t="s">
        <v>1084</v>
      </c>
      <c r="B154" t="str">
        <f t="shared" si="4"/>
        <v>2022</v>
      </c>
      <c r="C154" t="str">
        <f t="shared" si="5"/>
        <v>12</v>
      </c>
      <c r="D154" t="s">
        <v>1085</v>
      </c>
      <c r="E154" t="s">
        <v>1086</v>
      </c>
      <c r="F154" t="s">
        <v>1087</v>
      </c>
      <c r="G154" t="s">
        <v>878</v>
      </c>
      <c r="H154" t="s">
        <v>992</v>
      </c>
      <c r="I154" t="s">
        <v>477</v>
      </c>
      <c r="J154" t="s">
        <v>873</v>
      </c>
      <c r="K154" t="s">
        <v>424</v>
      </c>
      <c r="L154" t="s">
        <v>352</v>
      </c>
      <c r="M154" t="s">
        <v>53</v>
      </c>
      <c r="N154" t="s">
        <v>752</v>
      </c>
      <c r="O154" t="s">
        <v>106</v>
      </c>
      <c r="P154" t="s">
        <v>41</v>
      </c>
      <c r="Q154" t="s">
        <v>113</v>
      </c>
      <c r="R154" t="s">
        <v>120</v>
      </c>
      <c r="S154" t="s">
        <v>64</v>
      </c>
      <c r="T154" t="s">
        <v>152</v>
      </c>
      <c r="U154" t="s">
        <v>63</v>
      </c>
      <c r="V154" t="s">
        <v>113</v>
      </c>
      <c r="W154" t="s">
        <v>104</v>
      </c>
      <c r="X154" t="s">
        <v>64</v>
      </c>
      <c r="Y154">
        <v>0</v>
      </c>
      <c r="Z154">
        <v>0</v>
      </c>
      <c r="AA154">
        <v>0</v>
      </c>
      <c r="AB154" t="s">
        <v>216</v>
      </c>
      <c r="AC154">
        <v>0</v>
      </c>
      <c r="AD154" t="s">
        <v>63</v>
      </c>
      <c r="AE154" t="s">
        <v>63</v>
      </c>
      <c r="AF154">
        <v>0</v>
      </c>
      <c r="AG154" t="s">
        <v>63</v>
      </c>
      <c r="AH154">
        <v>0</v>
      </c>
      <c r="AI154" t="s">
        <v>63</v>
      </c>
      <c r="AJ154">
        <v>0</v>
      </c>
      <c r="AK154" t="s">
        <v>52</v>
      </c>
    </row>
    <row r="155" spans="1:37" x14ac:dyDescent="0.25">
      <c r="A155" t="s">
        <v>1088</v>
      </c>
      <c r="B155" t="str">
        <f t="shared" si="4"/>
        <v>2023</v>
      </c>
      <c r="C155" t="str">
        <f t="shared" si="5"/>
        <v>01</v>
      </c>
      <c r="D155" t="s">
        <v>1089</v>
      </c>
      <c r="E155" t="s">
        <v>847</v>
      </c>
      <c r="F155" t="s">
        <v>1090</v>
      </c>
      <c r="G155" t="s">
        <v>839</v>
      </c>
      <c r="H155" t="s">
        <v>1091</v>
      </c>
      <c r="I155" t="s">
        <v>343</v>
      </c>
      <c r="J155" t="s">
        <v>587</v>
      </c>
      <c r="K155" t="s">
        <v>201</v>
      </c>
      <c r="L155" t="s">
        <v>482</v>
      </c>
      <c r="M155" t="s">
        <v>66</v>
      </c>
      <c r="N155" t="s">
        <v>185</v>
      </c>
      <c r="O155" t="s">
        <v>134</v>
      </c>
      <c r="P155" t="s">
        <v>41</v>
      </c>
      <c r="Q155" t="s">
        <v>113</v>
      </c>
      <c r="R155" t="s">
        <v>120</v>
      </c>
      <c r="S155" t="s">
        <v>107</v>
      </c>
      <c r="T155" t="s">
        <v>53</v>
      </c>
      <c r="U155" t="s">
        <v>63</v>
      </c>
      <c r="V155" t="s">
        <v>113</v>
      </c>
      <c r="W155" t="s">
        <v>64</v>
      </c>
      <c r="X155" t="s">
        <v>104</v>
      </c>
      <c r="Y155">
        <v>0</v>
      </c>
      <c r="Z155">
        <v>0</v>
      </c>
      <c r="AA155">
        <v>0</v>
      </c>
      <c r="AB155" t="s">
        <v>216</v>
      </c>
      <c r="AC155">
        <v>0</v>
      </c>
      <c r="AD155" t="s">
        <v>63</v>
      </c>
      <c r="AE155" t="s">
        <v>63</v>
      </c>
      <c r="AF155">
        <v>0</v>
      </c>
      <c r="AG155" t="s">
        <v>63</v>
      </c>
      <c r="AH155">
        <v>0</v>
      </c>
      <c r="AI155" t="s">
        <v>63</v>
      </c>
      <c r="AJ155">
        <v>0</v>
      </c>
      <c r="AK155" t="s">
        <v>52</v>
      </c>
    </row>
    <row r="156" spans="1:37" x14ac:dyDescent="0.25">
      <c r="A156" t="s">
        <v>1092</v>
      </c>
      <c r="B156" t="str">
        <f t="shared" si="4"/>
        <v>2023</v>
      </c>
      <c r="C156" t="str">
        <f t="shared" si="5"/>
        <v>02</v>
      </c>
      <c r="D156" t="s">
        <v>1093</v>
      </c>
      <c r="E156" t="s">
        <v>1094</v>
      </c>
      <c r="F156" t="s">
        <v>181</v>
      </c>
      <c r="G156" t="s">
        <v>1095</v>
      </c>
      <c r="H156" t="s">
        <v>1096</v>
      </c>
      <c r="I156" t="s">
        <v>477</v>
      </c>
      <c r="J156" t="s">
        <v>695</v>
      </c>
      <c r="K156" t="s">
        <v>778</v>
      </c>
      <c r="L156" t="s">
        <v>814</v>
      </c>
      <c r="M156" t="s">
        <v>152</v>
      </c>
      <c r="N156" t="s">
        <v>195</v>
      </c>
      <c r="O156" t="s">
        <v>42</v>
      </c>
      <c r="P156" t="s">
        <v>41</v>
      </c>
      <c r="Q156" t="s">
        <v>113</v>
      </c>
      <c r="R156" t="s">
        <v>120</v>
      </c>
      <c r="S156" t="s">
        <v>73</v>
      </c>
      <c r="T156" t="s">
        <v>152</v>
      </c>
      <c r="U156" t="s">
        <v>63</v>
      </c>
      <c r="V156" t="s">
        <v>113</v>
      </c>
      <c r="W156" t="s">
        <v>120</v>
      </c>
      <c r="X156" t="s">
        <v>64</v>
      </c>
      <c r="Y156">
        <v>0</v>
      </c>
      <c r="Z156">
        <v>0</v>
      </c>
      <c r="AA156">
        <v>0</v>
      </c>
      <c r="AB156" t="s">
        <v>188</v>
      </c>
      <c r="AC156">
        <v>0</v>
      </c>
      <c r="AD156" t="s">
        <v>63</v>
      </c>
      <c r="AE156" t="s">
        <v>63</v>
      </c>
      <c r="AF156">
        <v>0</v>
      </c>
      <c r="AG156" t="s">
        <v>63</v>
      </c>
      <c r="AH156">
        <v>0</v>
      </c>
      <c r="AI156" t="s">
        <v>63</v>
      </c>
      <c r="AJ156">
        <v>0</v>
      </c>
      <c r="AK156" t="s">
        <v>52</v>
      </c>
    </row>
    <row r="157" spans="1:37" x14ac:dyDescent="0.25">
      <c r="A157" t="s">
        <v>1097</v>
      </c>
      <c r="B157" t="str">
        <f t="shared" si="4"/>
        <v>2023</v>
      </c>
      <c r="C157" t="str">
        <f t="shared" si="5"/>
        <v>03</v>
      </c>
      <c r="D157" t="s">
        <v>1060</v>
      </c>
      <c r="E157">
        <v>29</v>
      </c>
      <c r="F157" t="s">
        <v>1098</v>
      </c>
      <c r="G157" t="s">
        <v>334</v>
      </c>
      <c r="H157" t="s">
        <v>1099</v>
      </c>
      <c r="I157" t="s">
        <v>477</v>
      </c>
      <c r="J157" t="s">
        <v>926</v>
      </c>
      <c r="K157" t="s">
        <v>636</v>
      </c>
      <c r="L157" t="s">
        <v>778</v>
      </c>
      <c r="M157" t="s">
        <v>152</v>
      </c>
      <c r="N157" t="s">
        <v>778</v>
      </c>
      <c r="O157" t="s">
        <v>134</v>
      </c>
      <c r="P157" t="s">
        <v>41</v>
      </c>
      <c r="Q157" t="s">
        <v>113</v>
      </c>
      <c r="R157" t="s">
        <v>120</v>
      </c>
      <c r="S157" t="s">
        <v>107</v>
      </c>
      <c r="T157" t="s">
        <v>152</v>
      </c>
      <c r="U157" t="s">
        <v>63</v>
      </c>
      <c r="V157" t="s">
        <v>113</v>
      </c>
      <c r="W157" t="s">
        <v>120</v>
      </c>
      <c r="X157" t="s">
        <v>64</v>
      </c>
      <c r="Y157">
        <v>0</v>
      </c>
      <c r="Z157">
        <v>0</v>
      </c>
      <c r="AA157">
        <v>0</v>
      </c>
      <c r="AB157" t="s">
        <v>188</v>
      </c>
      <c r="AC157">
        <v>0</v>
      </c>
      <c r="AD157" t="s">
        <v>63</v>
      </c>
      <c r="AE157" t="s">
        <v>63</v>
      </c>
      <c r="AF157">
        <v>0</v>
      </c>
      <c r="AG157" t="s">
        <v>63</v>
      </c>
      <c r="AH157">
        <v>0</v>
      </c>
      <c r="AI157" t="s">
        <v>63</v>
      </c>
      <c r="AJ157">
        <v>0</v>
      </c>
      <c r="AK157" t="s">
        <v>52</v>
      </c>
    </row>
    <row r="158" spans="1:37" x14ac:dyDescent="0.25">
      <c r="A158" t="s">
        <v>1100</v>
      </c>
      <c r="B158" t="str">
        <f t="shared" si="4"/>
        <v>2023</v>
      </c>
      <c r="C158" t="str">
        <f t="shared" si="5"/>
        <v>04</v>
      </c>
      <c r="D158" t="s">
        <v>1101</v>
      </c>
      <c r="E158" t="s">
        <v>1102</v>
      </c>
      <c r="F158" t="s">
        <v>1103</v>
      </c>
      <c r="G158" t="s">
        <v>1104</v>
      </c>
      <c r="H158" t="s">
        <v>1105</v>
      </c>
      <c r="I158" t="s">
        <v>217</v>
      </c>
      <c r="J158" t="s">
        <v>926</v>
      </c>
      <c r="K158" t="s">
        <v>667</v>
      </c>
      <c r="L158" t="s">
        <v>177</v>
      </c>
      <c r="M158" t="s">
        <v>91</v>
      </c>
      <c r="N158" t="s">
        <v>177</v>
      </c>
      <c r="O158" t="s">
        <v>42</v>
      </c>
      <c r="P158" t="s">
        <v>119</v>
      </c>
      <c r="Q158" t="s">
        <v>113</v>
      </c>
      <c r="R158" t="s">
        <v>120</v>
      </c>
      <c r="S158" t="s">
        <v>73</v>
      </c>
      <c r="T158" t="s">
        <v>152</v>
      </c>
      <c r="U158" t="s">
        <v>63</v>
      </c>
      <c r="V158" t="s">
        <v>113</v>
      </c>
      <c r="W158" t="s">
        <v>120</v>
      </c>
      <c r="X158" t="s">
        <v>64</v>
      </c>
      <c r="Y158">
        <v>0</v>
      </c>
      <c r="Z158">
        <v>0</v>
      </c>
      <c r="AA158">
        <v>0</v>
      </c>
      <c r="AB158" t="s">
        <v>188</v>
      </c>
      <c r="AC158">
        <v>0</v>
      </c>
      <c r="AD158" t="s">
        <v>63</v>
      </c>
      <c r="AE158" t="s">
        <v>63</v>
      </c>
      <c r="AF158">
        <v>0</v>
      </c>
      <c r="AG158" t="s">
        <v>63</v>
      </c>
      <c r="AH158">
        <v>0</v>
      </c>
      <c r="AI158" t="s">
        <v>63</v>
      </c>
      <c r="AJ158">
        <v>0</v>
      </c>
      <c r="AK158" t="s">
        <v>52</v>
      </c>
    </row>
    <row r="159" spans="1:37" x14ac:dyDescent="0.25">
      <c r="A159" t="s">
        <v>1106</v>
      </c>
      <c r="B159" t="str">
        <f t="shared" si="4"/>
        <v>2023</v>
      </c>
      <c r="C159" t="str">
        <f t="shared" si="5"/>
        <v>05</v>
      </c>
      <c r="D159" t="s">
        <v>1107</v>
      </c>
      <c r="E159" t="s">
        <v>1108</v>
      </c>
      <c r="F159" t="s">
        <v>1109</v>
      </c>
      <c r="G159" t="s">
        <v>1110</v>
      </c>
      <c r="H159" t="s">
        <v>1111</v>
      </c>
      <c r="I159" t="s">
        <v>488</v>
      </c>
      <c r="J159" t="s">
        <v>1112</v>
      </c>
      <c r="K159" t="s">
        <v>752</v>
      </c>
      <c r="L159" t="s">
        <v>226</v>
      </c>
      <c r="M159" t="s">
        <v>107</v>
      </c>
      <c r="N159" t="s">
        <v>421</v>
      </c>
      <c r="O159" t="s">
        <v>378</v>
      </c>
      <c r="P159" t="s">
        <v>119</v>
      </c>
      <c r="Q159" t="s">
        <v>113</v>
      </c>
      <c r="R159" t="s">
        <v>41</v>
      </c>
      <c r="S159" t="s">
        <v>73</v>
      </c>
      <c r="T159" t="s">
        <v>152</v>
      </c>
      <c r="U159" t="s">
        <v>63</v>
      </c>
      <c r="V159" t="s">
        <v>113</v>
      </c>
      <c r="W159" t="s">
        <v>41</v>
      </c>
      <c r="X159" t="s">
        <v>120</v>
      </c>
      <c r="Y159">
        <v>0</v>
      </c>
      <c r="Z159">
        <v>0</v>
      </c>
      <c r="AA159">
        <v>0</v>
      </c>
      <c r="AB159" t="s">
        <v>188</v>
      </c>
      <c r="AC159">
        <v>0</v>
      </c>
      <c r="AD159" t="s">
        <v>63</v>
      </c>
      <c r="AE159" t="s">
        <v>63</v>
      </c>
      <c r="AF159">
        <v>0</v>
      </c>
      <c r="AG159" t="s">
        <v>63</v>
      </c>
      <c r="AH159">
        <v>0</v>
      </c>
      <c r="AI159" t="s">
        <v>63</v>
      </c>
      <c r="AJ159">
        <v>0</v>
      </c>
      <c r="AK159" t="s">
        <v>113</v>
      </c>
    </row>
    <row r="160" spans="1:37" x14ac:dyDescent="0.25">
      <c r="A160" t="s">
        <v>1113</v>
      </c>
      <c r="B160" t="str">
        <f t="shared" si="4"/>
        <v>2023</v>
      </c>
      <c r="C160" t="str">
        <f t="shared" si="5"/>
        <v>06</v>
      </c>
      <c r="D160" t="s">
        <v>1114</v>
      </c>
      <c r="E160" t="s">
        <v>1115</v>
      </c>
      <c r="F160" t="s">
        <v>1116</v>
      </c>
      <c r="G160" t="s">
        <v>1117</v>
      </c>
      <c r="H160" t="s">
        <v>1118</v>
      </c>
      <c r="I160" t="s">
        <v>234</v>
      </c>
      <c r="J160" t="s">
        <v>102</v>
      </c>
      <c r="K160" t="s">
        <v>369</v>
      </c>
      <c r="L160" t="s">
        <v>410</v>
      </c>
      <c r="M160" t="s">
        <v>73</v>
      </c>
      <c r="N160" t="s">
        <v>264</v>
      </c>
      <c r="O160" t="s">
        <v>42</v>
      </c>
      <c r="P160" t="s">
        <v>119</v>
      </c>
      <c r="Q160" t="s">
        <v>113</v>
      </c>
      <c r="R160" t="s">
        <v>41</v>
      </c>
      <c r="S160" t="s">
        <v>91</v>
      </c>
      <c r="T160" t="s">
        <v>91</v>
      </c>
      <c r="U160" t="s">
        <v>63</v>
      </c>
      <c r="V160" t="s">
        <v>113</v>
      </c>
      <c r="W160" t="s">
        <v>171</v>
      </c>
      <c r="X160" t="s">
        <v>41</v>
      </c>
      <c r="Y160">
        <v>0</v>
      </c>
      <c r="Z160">
        <v>0</v>
      </c>
      <c r="AA160">
        <v>0</v>
      </c>
      <c r="AB160" t="s">
        <v>188</v>
      </c>
      <c r="AC160">
        <v>0</v>
      </c>
      <c r="AD160" t="s">
        <v>63</v>
      </c>
      <c r="AE160" t="s">
        <v>63</v>
      </c>
      <c r="AF160">
        <v>0</v>
      </c>
      <c r="AG160" t="s">
        <v>63</v>
      </c>
      <c r="AH160">
        <v>0</v>
      </c>
      <c r="AI160" t="s">
        <v>63</v>
      </c>
      <c r="AJ160">
        <v>0</v>
      </c>
      <c r="AK160" t="s">
        <v>113</v>
      </c>
    </row>
    <row r="161" spans="1:37" x14ac:dyDescent="0.25">
      <c r="A161" t="s">
        <v>1119</v>
      </c>
      <c r="B161" t="str">
        <f t="shared" si="4"/>
        <v>2023</v>
      </c>
      <c r="C161" t="str">
        <f t="shared" si="5"/>
        <v>07</v>
      </c>
      <c r="D161" t="s">
        <v>1120</v>
      </c>
      <c r="E161" t="s">
        <v>1121</v>
      </c>
      <c r="F161" t="s">
        <v>1122</v>
      </c>
      <c r="G161" t="s">
        <v>1123</v>
      </c>
      <c r="H161" t="s">
        <v>1124</v>
      </c>
      <c r="I161" t="s">
        <v>293</v>
      </c>
      <c r="J161" t="s">
        <v>597</v>
      </c>
      <c r="K161" t="s">
        <v>249</v>
      </c>
      <c r="L161" t="s">
        <v>379</v>
      </c>
      <c r="M161" t="s">
        <v>91</v>
      </c>
      <c r="N161" t="s">
        <v>386</v>
      </c>
      <c r="O161" t="s">
        <v>126</v>
      </c>
      <c r="P161" t="s">
        <v>119</v>
      </c>
      <c r="Q161" t="s">
        <v>63</v>
      </c>
      <c r="R161" t="s">
        <v>119</v>
      </c>
      <c r="S161" t="s">
        <v>134</v>
      </c>
      <c r="T161" t="s">
        <v>73</v>
      </c>
      <c r="U161" t="s">
        <v>63</v>
      </c>
      <c r="V161" t="s">
        <v>113</v>
      </c>
      <c r="W161" t="s">
        <v>216</v>
      </c>
      <c r="X161" t="s">
        <v>216</v>
      </c>
      <c r="Y161">
        <v>0</v>
      </c>
      <c r="Z161">
        <v>0</v>
      </c>
      <c r="AA161">
        <v>0</v>
      </c>
      <c r="AB161" t="s">
        <v>216</v>
      </c>
      <c r="AC161">
        <v>0</v>
      </c>
      <c r="AD161">
        <v>0</v>
      </c>
      <c r="AE161" t="s">
        <v>63</v>
      </c>
      <c r="AF161">
        <v>0</v>
      </c>
      <c r="AG161" t="s">
        <v>63</v>
      </c>
      <c r="AH161">
        <v>0</v>
      </c>
      <c r="AI161" t="s">
        <v>63</v>
      </c>
      <c r="AJ161">
        <v>0</v>
      </c>
      <c r="AK161" t="s">
        <v>113</v>
      </c>
    </row>
    <row r="162" spans="1:37" x14ac:dyDescent="0.25">
      <c r="A162" t="s">
        <v>1125</v>
      </c>
      <c r="B162" t="str">
        <f t="shared" si="4"/>
        <v>2023</v>
      </c>
      <c r="C162" t="str">
        <f t="shared" si="5"/>
        <v>08</v>
      </c>
      <c r="D162" t="s">
        <v>1126</v>
      </c>
      <c r="E162" t="s">
        <v>1127</v>
      </c>
      <c r="F162" t="s">
        <v>1128</v>
      </c>
      <c r="G162" t="s">
        <v>311</v>
      </c>
      <c r="H162" t="s">
        <v>1129</v>
      </c>
      <c r="I162" t="s">
        <v>55</v>
      </c>
      <c r="J162">
        <v>3</v>
      </c>
      <c r="K162" t="s">
        <v>452</v>
      </c>
      <c r="L162" t="s">
        <v>507</v>
      </c>
      <c r="M162" t="s">
        <v>107</v>
      </c>
      <c r="N162" t="s">
        <v>706</v>
      </c>
      <c r="O162" t="s">
        <v>56</v>
      </c>
      <c r="P162" t="s">
        <v>41</v>
      </c>
      <c r="Q162" t="s">
        <v>63</v>
      </c>
      <c r="R162" t="s">
        <v>119</v>
      </c>
      <c r="S162" t="s">
        <v>134</v>
      </c>
      <c r="T162" t="s">
        <v>73</v>
      </c>
      <c r="U162" t="s">
        <v>63</v>
      </c>
      <c r="V162" t="s">
        <v>113</v>
      </c>
      <c r="W162" t="s">
        <v>188</v>
      </c>
      <c r="X162" t="s">
        <v>216</v>
      </c>
      <c r="Y162">
        <v>0</v>
      </c>
      <c r="Z162">
        <v>0</v>
      </c>
      <c r="AA162">
        <v>0</v>
      </c>
      <c r="AB162" t="s">
        <v>216</v>
      </c>
      <c r="AC162">
        <v>0</v>
      </c>
      <c r="AD162">
        <v>0</v>
      </c>
      <c r="AE162" t="s">
        <v>63</v>
      </c>
      <c r="AF162">
        <v>0</v>
      </c>
      <c r="AG162" t="s">
        <v>63</v>
      </c>
      <c r="AH162">
        <v>0</v>
      </c>
      <c r="AI162" t="s">
        <v>63</v>
      </c>
      <c r="AJ162">
        <v>0</v>
      </c>
      <c r="AK162" t="s">
        <v>113</v>
      </c>
    </row>
    <row r="163" spans="1:37" x14ac:dyDescent="0.25">
      <c r="A163" t="s">
        <v>1130</v>
      </c>
      <c r="B163" t="str">
        <f t="shared" si="4"/>
        <v>2023</v>
      </c>
      <c r="C163" t="str">
        <f t="shared" si="5"/>
        <v>09</v>
      </c>
      <c r="D163" t="s">
        <v>1131</v>
      </c>
      <c r="E163" t="s">
        <v>1132</v>
      </c>
      <c r="F163" t="s">
        <v>1133</v>
      </c>
      <c r="G163" t="s">
        <v>449</v>
      </c>
      <c r="H163" t="s">
        <v>856</v>
      </c>
      <c r="I163" t="s">
        <v>435</v>
      </c>
      <c r="J163" t="s">
        <v>770</v>
      </c>
      <c r="K163" t="s">
        <v>829</v>
      </c>
      <c r="L163" t="s">
        <v>379</v>
      </c>
      <c r="M163" t="s">
        <v>91</v>
      </c>
      <c r="N163" t="s">
        <v>517</v>
      </c>
      <c r="O163" t="s">
        <v>126</v>
      </c>
      <c r="P163" t="s">
        <v>41</v>
      </c>
      <c r="Q163" t="s">
        <v>63</v>
      </c>
      <c r="R163" t="s">
        <v>119</v>
      </c>
      <c r="S163" t="s">
        <v>103</v>
      </c>
      <c r="T163" t="s">
        <v>107</v>
      </c>
      <c r="U163" t="s">
        <v>63</v>
      </c>
      <c r="V163" t="s">
        <v>113</v>
      </c>
      <c r="W163" t="s">
        <v>171</v>
      </c>
      <c r="X163" t="s">
        <v>171</v>
      </c>
      <c r="Y163">
        <v>0</v>
      </c>
      <c r="Z163">
        <v>0</v>
      </c>
      <c r="AA163">
        <v>0</v>
      </c>
      <c r="AB163" t="s">
        <v>171</v>
      </c>
      <c r="AC163">
        <v>0</v>
      </c>
      <c r="AD163" t="s">
        <v>63</v>
      </c>
      <c r="AE163" t="s">
        <v>63</v>
      </c>
      <c r="AF163">
        <v>0</v>
      </c>
      <c r="AG163" t="s">
        <v>63</v>
      </c>
      <c r="AH163">
        <v>0</v>
      </c>
      <c r="AI163" t="s">
        <v>63</v>
      </c>
      <c r="AJ163">
        <v>0</v>
      </c>
      <c r="AK163" t="s">
        <v>113</v>
      </c>
    </row>
    <row r="164" spans="1:37" x14ac:dyDescent="0.25">
      <c r="A164" t="s">
        <v>1134</v>
      </c>
      <c r="B164" t="str">
        <f t="shared" si="4"/>
        <v>2023</v>
      </c>
      <c r="C164" t="str">
        <f t="shared" si="5"/>
        <v>10</v>
      </c>
      <c r="D164" t="s">
        <v>1135</v>
      </c>
      <c r="E164">
        <v>25</v>
      </c>
      <c r="F164" t="s">
        <v>1136</v>
      </c>
      <c r="G164" t="s">
        <v>1137</v>
      </c>
      <c r="H164" t="s">
        <v>1138</v>
      </c>
      <c r="I164" t="s">
        <v>44</v>
      </c>
      <c r="J164" t="s">
        <v>861</v>
      </c>
      <c r="K164" t="s">
        <v>660</v>
      </c>
      <c r="L164" t="s">
        <v>193</v>
      </c>
      <c r="M164" t="s">
        <v>73</v>
      </c>
      <c r="N164" t="s">
        <v>718</v>
      </c>
      <c r="O164" t="s">
        <v>56</v>
      </c>
      <c r="P164" t="s">
        <v>119</v>
      </c>
      <c r="Q164" t="s">
        <v>63</v>
      </c>
      <c r="R164" t="s">
        <v>119</v>
      </c>
      <c r="S164" t="s">
        <v>90</v>
      </c>
      <c r="T164" t="s">
        <v>66</v>
      </c>
      <c r="U164" t="s">
        <v>63</v>
      </c>
      <c r="V164" t="s">
        <v>113</v>
      </c>
      <c r="W164" t="s">
        <v>171</v>
      </c>
      <c r="X164" t="s">
        <v>171</v>
      </c>
      <c r="Y164">
        <v>0</v>
      </c>
      <c r="Z164">
        <v>0</v>
      </c>
      <c r="AA164" t="s">
        <v>63</v>
      </c>
      <c r="AB164" t="s">
        <v>171</v>
      </c>
      <c r="AC164" t="s">
        <v>63</v>
      </c>
      <c r="AD164">
        <v>0</v>
      </c>
      <c r="AE164" t="s">
        <v>113</v>
      </c>
      <c r="AF164">
        <v>0</v>
      </c>
      <c r="AG164" t="s">
        <v>63</v>
      </c>
      <c r="AH164">
        <v>0</v>
      </c>
      <c r="AI164">
        <v>0</v>
      </c>
      <c r="AJ164">
        <v>0</v>
      </c>
      <c r="AK164" t="s">
        <v>113</v>
      </c>
    </row>
    <row r="165" spans="1:37" x14ac:dyDescent="0.25">
      <c r="A165" t="s">
        <v>1139</v>
      </c>
      <c r="B165" t="str">
        <f t="shared" si="4"/>
        <v>2023</v>
      </c>
      <c r="C165" t="str">
        <f t="shared" si="5"/>
        <v>11</v>
      </c>
      <c r="D165" t="s">
        <v>1140</v>
      </c>
      <c r="E165" t="s">
        <v>1141</v>
      </c>
      <c r="F165" t="s">
        <v>1142</v>
      </c>
      <c r="G165" t="s">
        <v>1143</v>
      </c>
      <c r="H165" t="s">
        <v>1144</v>
      </c>
      <c r="I165" t="s">
        <v>44</v>
      </c>
      <c r="J165" t="s">
        <v>59</v>
      </c>
      <c r="K165" t="s">
        <v>255</v>
      </c>
      <c r="L165" t="s">
        <v>369</v>
      </c>
      <c r="M165" t="s">
        <v>73</v>
      </c>
      <c r="N165" t="s">
        <v>256</v>
      </c>
      <c r="O165" t="s">
        <v>134</v>
      </c>
      <c r="P165" t="s">
        <v>119</v>
      </c>
      <c r="Q165" t="s">
        <v>63</v>
      </c>
      <c r="R165" t="s">
        <v>119</v>
      </c>
      <c r="S165" t="s">
        <v>134</v>
      </c>
      <c r="T165" t="s">
        <v>42</v>
      </c>
      <c r="U165">
        <v>0</v>
      </c>
      <c r="V165" t="s">
        <v>113</v>
      </c>
      <c r="W165" t="s">
        <v>171</v>
      </c>
      <c r="X165" t="s">
        <v>171</v>
      </c>
      <c r="Y165">
        <v>0</v>
      </c>
      <c r="Z165">
        <v>0</v>
      </c>
      <c r="AA165" t="s">
        <v>63</v>
      </c>
      <c r="AB165" t="s">
        <v>171</v>
      </c>
      <c r="AC165" t="s">
        <v>63</v>
      </c>
      <c r="AD165">
        <v>0</v>
      </c>
      <c r="AE165" t="s">
        <v>52</v>
      </c>
      <c r="AF165">
        <v>0</v>
      </c>
      <c r="AG165" t="s">
        <v>63</v>
      </c>
      <c r="AH165">
        <v>0</v>
      </c>
      <c r="AI165" t="s">
        <v>63</v>
      </c>
      <c r="AJ165">
        <v>0</v>
      </c>
      <c r="AK165" t="s">
        <v>52</v>
      </c>
    </row>
    <row r="166" spans="1:37" x14ac:dyDescent="0.25">
      <c r="A166" t="s">
        <v>1145</v>
      </c>
      <c r="B166" t="str">
        <f t="shared" si="4"/>
        <v>2023</v>
      </c>
      <c r="C166" t="str">
        <f t="shared" si="5"/>
        <v>12</v>
      </c>
      <c r="D166" t="s">
        <v>1146</v>
      </c>
      <c r="E166" t="s">
        <v>1147</v>
      </c>
      <c r="F166" t="s">
        <v>1148</v>
      </c>
      <c r="G166" t="s">
        <v>1149</v>
      </c>
      <c r="H166" t="s">
        <v>1150</v>
      </c>
      <c r="I166" t="s">
        <v>435</v>
      </c>
      <c r="J166" t="s">
        <v>1151</v>
      </c>
      <c r="K166" t="s">
        <v>360</v>
      </c>
      <c r="L166" t="s">
        <v>507</v>
      </c>
      <c r="M166" t="s">
        <v>73</v>
      </c>
      <c r="N166" t="s">
        <v>215</v>
      </c>
      <c r="O166" t="s">
        <v>134</v>
      </c>
      <c r="P166" t="s">
        <v>119</v>
      </c>
      <c r="Q166" t="s">
        <v>63</v>
      </c>
      <c r="R166" t="s">
        <v>119</v>
      </c>
      <c r="S166" t="s">
        <v>134</v>
      </c>
      <c r="T166" t="s">
        <v>56</v>
      </c>
      <c r="U166">
        <v>0</v>
      </c>
      <c r="V166" t="s">
        <v>113</v>
      </c>
      <c r="W166" t="s">
        <v>171</v>
      </c>
      <c r="X166" t="s">
        <v>171</v>
      </c>
      <c r="Y166">
        <v>0</v>
      </c>
      <c r="Z166">
        <v>0</v>
      </c>
      <c r="AA166" t="s">
        <v>113</v>
      </c>
      <c r="AB166" t="s">
        <v>171</v>
      </c>
      <c r="AC166" t="s">
        <v>63</v>
      </c>
      <c r="AD166">
        <v>0</v>
      </c>
      <c r="AE166" t="s">
        <v>52</v>
      </c>
      <c r="AF166">
        <v>0</v>
      </c>
      <c r="AG166" t="s">
        <v>63</v>
      </c>
      <c r="AH166">
        <v>0</v>
      </c>
      <c r="AI166">
        <v>0</v>
      </c>
      <c r="AJ166">
        <v>0</v>
      </c>
      <c r="AK166" t="s">
        <v>52</v>
      </c>
    </row>
    <row r="167" spans="1:37" x14ac:dyDescent="0.25">
      <c r="A167" t="s">
        <v>1152</v>
      </c>
      <c r="B167" t="str">
        <f t="shared" si="4"/>
        <v>2024</v>
      </c>
      <c r="C167" t="str">
        <f t="shared" si="5"/>
        <v>01</v>
      </c>
      <c r="D167" t="s">
        <v>1153</v>
      </c>
      <c r="E167" t="s">
        <v>1154</v>
      </c>
      <c r="F167" t="s">
        <v>1155</v>
      </c>
      <c r="G167" t="s">
        <v>1156</v>
      </c>
      <c r="H167" t="s">
        <v>1157</v>
      </c>
      <c r="I167" t="s">
        <v>44</v>
      </c>
      <c r="J167" t="s">
        <v>880</v>
      </c>
      <c r="K167" t="s">
        <v>352</v>
      </c>
      <c r="L167" t="s">
        <v>507</v>
      </c>
      <c r="M167" t="s">
        <v>88</v>
      </c>
      <c r="N167" t="s">
        <v>578</v>
      </c>
      <c r="O167" t="s">
        <v>42</v>
      </c>
      <c r="P167" t="s">
        <v>171</v>
      </c>
      <c r="Q167" t="s">
        <v>63</v>
      </c>
      <c r="R167" t="s">
        <v>119</v>
      </c>
      <c r="S167" t="s">
        <v>378</v>
      </c>
      <c r="T167" t="s">
        <v>126</v>
      </c>
      <c r="U167">
        <v>0</v>
      </c>
      <c r="V167" t="s">
        <v>113</v>
      </c>
      <c r="W167" t="s">
        <v>119</v>
      </c>
      <c r="X167" t="s">
        <v>171</v>
      </c>
      <c r="Y167">
        <v>0</v>
      </c>
      <c r="Z167">
        <v>0</v>
      </c>
      <c r="AA167" t="s">
        <v>113</v>
      </c>
      <c r="AB167" t="s">
        <v>216</v>
      </c>
      <c r="AC167" t="s">
        <v>113</v>
      </c>
      <c r="AD167">
        <v>0</v>
      </c>
      <c r="AE167" t="s">
        <v>52</v>
      </c>
      <c r="AF167">
        <v>0</v>
      </c>
      <c r="AG167" t="s">
        <v>63</v>
      </c>
      <c r="AH167">
        <v>0</v>
      </c>
      <c r="AI167" t="s">
        <v>63</v>
      </c>
      <c r="AJ167">
        <v>0</v>
      </c>
      <c r="AK167" t="s">
        <v>52</v>
      </c>
    </row>
    <row r="168" spans="1:37" x14ac:dyDescent="0.25">
      <c r="A168" t="s">
        <v>1158</v>
      </c>
      <c r="B168" t="str">
        <f t="shared" si="4"/>
        <v>2024</v>
      </c>
      <c r="C168" t="str">
        <f t="shared" si="5"/>
        <v>02</v>
      </c>
      <c r="D168" t="s">
        <v>1159</v>
      </c>
      <c r="E168" t="s">
        <v>1160</v>
      </c>
      <c r="F168" t="s">
        <v>1161</v>
      </c>
      <c r="G168" t="s">
        <v>1162</v>
      </c>
      <c r="H168" t="s">
        <v>1118</v>
      </c>
      <c r="I168" t="s">
        <v>55</v>
      </c>
      <c r="J168" t="s">
        <v>1163</v>
      </c>
      <c r="K168" t="s">
        <v>185</v>
      </c>
      <c r="L168" t="s">
        <v>44</v>
      </c>
      <c r="M168" t="s">
        <v>128</v>
      </c>
      <c r="N168" t="s">
        <v>718</v>
      </c>
      <c r="O168" t="s">
        <v>106</v>
      </c>
      <c r="P168" t="s">
        <v>171</v>
      </c>
      <c r="Q168" t="s">
        <v>63</v>
      </c>
      <c r="R168" t="s">
        <v>119</v>
      </c>
      <c r="S168" t="s">
        <v>53</v>
      </c>
      <c r="T168" t="s">
        <v>126</v>
      </c>
      <c r="U168" t="s">
        <v>63</v>
      </c>
      <c r="V168" t="s">
        <v>113</v>
      </c>
      <c r="W168" t="s">
        <v>41</v>
      </c>
      <c r="X168" t="s">
        <v>119</v>
      </c>
      <c r="Y168">
        <v>0</v>
      </c>
      <c r="Z168">
        <v>0</v>
      </c>
      <c r="AA168" t="s">
        <v>113</v>
      </c>
      <c r="AB168" t="s">
        <v>188</v>
      </c>
      <c r="AC168" t="s">
        <v>63</v>
      </c>
      <c r="AD168">
        <v>0</v>
      </c>
      <c r="AE168" t="s">
        <v>188</v>
      </c>
      <c r="AF168">
        <v>0</v>
      </c>
      <c r="AG168">
        <v>0</v>
      </c>
      <c r="AH168">
        <v>0</v>
      </c>
      <c r="AI168">
        <v>0</v>
      </c>
      <c r="AJ168">
        <v>0</v>
      </c>
      <c r="AK168" t="s">
        <v>113</v>
      </c>
    </row>
    <row r="169" spans="1:37" x14ac:dyDescent="0.25">
      <c r="A169" t="s">
        <v>1164</v>
      </c>
      <c r="B169" t="str">
        <f t="shared" si="4"/>
        <v>2024</v>
      </c>
      <c r="C169" t="str">
        <f t="shared" si="5"/>
        <v>03</v>
      </c>
      <c r="D169" t="s">
        <v>1165</v>
      </c>
      <c r="E169" t="s">
        <v>1141</v>
      </c>
      <c r="F169" t="s">
        <v>1166</v>
      </c>
      <c r="G169" t="s">
        <v>1137</v>
      </c>
      <c r="H169" t="s">
        <v>1167</v>
      </c>
      <c r="I169" t="s">
        <v>300</v>
      </c>
      <c r="J169" t="s">
        <v>1168</v>
      </c>
      <c r="K169" t="s">
        <v>264</v>
      </c>
      <c r="L169" t="s">
        <v>293</v>
      </c>
      <c r="M169" t="s">
        <v>104</v>
      </c>
      <c r="N169" t="s">
        <v>660</v>
      </c>
      <c r="O169" t="s">
        <v>53</v>
      </c>
      <c r="P169" t="s">
        <v>171</v>
      </c>
      <c r="Q169" t="s">
        <v>63</v>
      </c>
      <c r="R169" t="s">
        <v>171</v>
      </c>
      <c r="S169" t="s">
        <v>53</v>
      </c>
      <c r="T169" t="s">
        <v>126</v>
      </c>
      <c r="U169" t="s">
        <v>63</v>
      </c>
      <c r="V169" t="s">
        <v>113</v>
      </c>
      <c r="W169" t="s">
        <v>41</v>
      </c>
      <c r="X169" t="s">
        <v>171</v>
      </c>
      <c r="Y169">
        <v>0</v>
      </c>
      <c r="Z169">
        <v>0</v>
      </c>
      <c r="AA169" t="s">
        <v>52</v>
      </c>
      <c r="AB169" t="s">
        <v>188</v>
      </c>
      <c r="AC169" t="s">
        <v>113</v>
      </c>
      <c r="AD169">
        <v>0</v>
      </c>
      <c r="AE169" t="s">
        <v>188</v>
      </c>
      <c r="AF169">
        <v>0</v>
      </c>
      <c r="AG169">
        <v>0</v>
      </c>
      <c r="AH169">
        <v>0</v>
      </c>
      <c r="AI169">
        <v>0</v>
      </c>
      <c r="AJ169">
        <v>0</v>
      </c>
      <c r="AK169" t="s">
        <v>113</v>
      </c>
    </row>
    <row r="170" spans="1:37" x14ac:dyDescent="0.25">
      <c r="A170" t="s">
        <v>1169</v>
      </c>
      <c r="B170" t="str">
        <f t="shared" si="4"/>
        <v>2024</v>
      </c>
      <c r="C170" t="str">
        <f t="shared" si="5"/>
        <v>04</v>
      </c>
      <c r="D170" t="s">
        <v>1170</v>
      </c>
      <c r="E170" t="s">
        <v>1171</v>
      </c>
      <c r="F170" t="s">
        <v>1172</v>
      </c>
      <c r="G170" t="s">
        <v>1173</v>
      </c>
      <c r="H170" t="s">
        <v>1174</v>
      </c>
      <c r="I170" t="s">
        <v>300</v>
      </c>
      <c r="J170" t="s">
        <v>880</v>
      </c>
      <c r="K170" t="s">
        <v>255</v>
      </c>
      <c r="L170" t="s">
        <v>55</v>
      </c>
      <c r="M170" t="s">
        <v>104</v>
      </c>
      <c r="N170" t="s">
        <v>752</v>
      </c>
      <c r="O170" t="s">
        <v>53</v>
      </c>
      <c r="P170" t="s">
        <v>216</v>
      </c>
      <c r="Q170" t="s">
        <v>63</v>
      </c>
      <c r="R170" t="s">
        <v>171</v>
      </c>
      <c r="S170" t="s">
        <v>66</v>
      </c>
      <c r="T170" t="s">
        <v>56</v>
      </c>
      <c r="U170">
        <v>0</v>
      </c>
      <c r="V170" t="s">
        <v>113</v>
      </c>
      <c r="W170" t="s">
        <v>41</v>
      </c>
      <c r="X170" t="s">
        <v>171</v>
      </c>
      <c r="Y170">
        <v>0</v>
      </c>
      <c r="Z170">
        <v>0</v>
      </c>
      <c r="AA170" t="s">
        <v>188</v>
      </c>
      <c r="AB170" t="s">
        <v>216</v>
      </c>
      <c r="AC170" t="s">
        <v>113</v>
      </c>
      <c r="AD170">
        <v>0</v>
      </c>
      <c r="AE170" t="s">
        <v>188</v>
      </c>
      <c r="AF170">
        <v>0</v>
      </c>
      <c r="AG170">
        <v>0</v>
      </c>
      <c r="AH170">
        <v>0</v>
      </c>
      <c r="AI170">
        <v>0</v>
      </c>
      <c r="AJ170">
        <v>0</v>
      </c>
      <c r="AK170" t="s">
        <v>113</v>
      </c>
    </row>
    <row r="171" spans="1:37" x14ac:dyDescent="0.25">
      <c r="A171" t="s">
        <v>1175</v>
      </c>
      <c r="B171" t="str">
        <f t="shared" si="4"/>
        <v>2024</v>
      </c>
      <c r="C171" t="str">
        <f t="shared" si="5"/>
        <v>05</v>
      </c>
      <c r="D171" t="s">
        <v>1176</v>
      </c>
      <c r="E171" t="s">
        <v>1141</v>
      </c>
      <c r="F171" t="s">
        <v>1177</v>
      </c>
      <c r="G171" t="s">
        <v>1178</v>
      </c>
      <c r="H171" t="s">
        <v>1070</v>
      </c>
      <c r="I171" t="s">
        <v>316</v>
      </c>
      <c r="J171" t="s">
        <v>1179</v>
      </c>
      <c r="K171" t="s">
        <v>660</v>
      </c>
      <c r="L171" t="s">
        <v>300</v>
      </c>
      <c r="M171" t="s">
        <v>104</v>
      </c>
      <c r="N171" t="s">
        <v>352</v>
      </c>
      <c r="O171" t="s">
        <v>53</v>
      </c>
      <c r="P171" t="s">
        <v>216</v>
      </c>
      <c r="Q171" t="s">
        <v>63</v>
      </c>
      <c r="R171" t="s">
        <v>171</v>
      </c>
      <c r="S171" t="s">
        <v>106</v>
      </c>
      <c r="T171" t="s">
        <v>56</v>
      </c>
      <c r="U171">
        <v>0</v>
      </c>
      <c r="V171" t="s">
        <v>113</v>
      </c>
      <c r="W171" t="s">
        <v>119</v>
      </c>
      <c r="X171" t="s">
        <v>216</v>
      </c>
      <c r="Y171">
        <v>0</v>
      </c>
      <c r="Z171">
        <v>0</v>
      </c>
      <c r="AA171" t="s">
        <v>171</v>
      </c>
      <c r="AB171" t="s">
        <v>216</v>
      </c>
      <c r="AC171" t="s">
        <v>52</v>
      </c>
      <c r="AD171">
        <v>0</v>
      </c>
      <c r="AE171" t="s">
        <v>188</v>
      </c>
      <c r="AF171">
        <v>0</v>
      </c>
      <c r="AG171" t="s">
        <v>63</v>
      </c>
      <c r="AH171">
        <v>0</v>
      </c>
      <c r="AI171">
        <v>0</v>
      </c>
      <c r="AJ171">
        <v>0</v>
      </c>
      <c r="AK171" t="s">
        <v>113</v>
      </c>
    </row>
    <row r="172" spans="1:37" x14ac:dyDescent="0.25">
      <c r="A172" t="s">
        <v>1180</v>
      </c>
      <c r="B172" t="str">
        <f t="shared" si="4"/>
        <v>2024</v>
      </c>
      <c r="C172" t="str">
        <f t="shared" si="5"/>
        <v>06</v>
      </c>
      <c r="D172" t="s">
        <v>1181</v>
      </c>
      <c r="E172" t="s">
        <v>1182</v>
      </c>
      <c r="F172" t="s">
        <v>1183</v>
      </c>
      <c r="G172" t="s">
        <v>1184</v>
      </c>
      <c r="H172" t="s">
        <v>1185</v>
      </c>
      <c r="I172" t="s">
        <v>316</v>
      </c>
      <c r="J172" t="s">
        <v>102</v>
      </c>
      <c r="K172" t="s">
        <v>706</v>
      </c>
      <c r="L172" t="s">
        <v>353</v>
      </c>
      <c r="M172" t="s">
        <v>104</v>
      </c>
      <c r="N172" t="s">
        <v>195</v>
      </c>
      <c r="O172" t="s">
        <v>66</v>
      </c>
      <c r="P172" t="s">
        <v>171</v>
      </c>
      <c r="Q172" t="s">
        <v>63</v>
      </c>
      <c r="R172" t="s">
        <v>152</v>
      </c>
      <c r="S172" t="s">
        <v>76</v>
      </c>
      <c r="T172" t="s">
        <v>126</v>
      </c>
      <c r="U172" t="s">
        <v>63</v>
      </c>
      <c r="V172" t="s">
        <v>52</v>
      </c>
      <c r="W172" t="s">
        <v>119</v>
      </c>
      <c r="X172" t="s">
        <v>216</v>
      </c>
      <c r="Y172">
        <v>0</v>
      </c>
      <c r="Z172">
        <v>0</v>
      </c>
      <c r="AA172" t="s">
        <v>119</v>
      </c>
      <c r="AB172" t="s">
        <v>171</v>
      </c>
      <c r="AC172" t="s">
        <v>188</v>
      </c>
      <c r="AD172">
        <v>0</v>
      </c>
      <c r="AE172" t="s">
        <v>216</v>
      </c>
      <c r="AF172">
        <v>0</v>
      </c>
      <c r="AG172">
        <v>0</v>
      </c>
      <c r="AH172">
        <v>0</v>
      </c>
      <c r="AI172">
        <v>0</v>
      </c>
      <c r="AJ172">
        <v>0</v>
      </c>
      <c r="AK172" t="s">
        <v>113</v>
      </c>
    </row>
    <row r="173" spans="1:37" x14ac:dyDescent="0.25">
      <c r="A173" t="s">
        <v>1186</v>
      </c>
      <c r="B173" t="str">
        <f t="shared" si="4"/>
        <v>2024</v>
      </c>
      <c r="C173" t="str">
        <f t="shared" si="5"/>
        <v>07</v>
      </c>
      <c r="D173" t="s">
        <v>1187</v>
      </c>
      <c r="E173" t="s">
        <v>1188</v>
      </c>
      <c r="F173" t="s">
        <v>1189</v>
      </c>
      <c r="G173" t="s">
        <v>1190</v>
      </c>
      <c r="H173" t="s">
        <v>1191</v>
      </c>
      <c r="I173" t="s">
        <v>317</v>
      </c>
      <c r="J173" t="s">
        <v>560</v>
      </c>
      <c r="K173" t="s">
        <v>442</v>
      </c>
      <c r="L173" t="s">
        <v>286</v>
      </c>
      <c r="M173" t="s">
        <v>104</v>
      </c>
      <c r="N173" t="s">
        <v>533</v>
      </c>
      <c r="O173" t="s">
        <v>66</v>
      </c>
      <c r="P173" t="s">
        <v>171</v>
      </c>
      <c r="Q173" t="s">
        <v>63</v>
      </c>
      <c r="R173" t="s">
        <v>119</v>
      </c>
      <c r="S173" t="s">
        <v>126</v>
      </c>
      <c r="T173" t="s">
        <v>76</v>
      </c>
      <c r="U173">
        <v>0</v>
      </c>
      <c r="V173" t="s">
        <v>52</v>
      </c>
      <c r="W173" t="s">
        <v>119</v>
      </c>
      <c r="X173" t="s">
        <v>216</v>
      </c>
      <c r="Y173">
        <v>0</v>
      </c>
      <c r="Z173">
        <v>0</v>
      </c>
      <c r="AA173" t="s">
        <v>119</v>
      </c>
      <c r="AB173" t="s">
        <v>171</v>
      </c>
      <c r="AC173" t="s">
        <v>188</v>
      </c>
      <c r="AD173">
        <v>0</v>
      </c>
      <c r="AE173" t="s">
        <v>216</v>
      </c>
      <c r="AF173">
        <v>0</v>
      </c>
      <c r="AG173">
        <v>0</v>
      </c>
      <c r="AH173">
        <v>0</v>
      </c>
      <c r="AI173">
        <v>0</v>
      </c>
      <c r="AJ173">
        <v>0</v>
      </c>
      <c r="AK173" t="s">
        <v>113</v>
      </c>
    </row>
    <row r="174" spans="1:37" x14ac:dyDescent="0.25">
      <c r="A174" t="s">
        <v>1192</v>
      </c>
      <c r="B174" t="str">
        <f t="shared" si="4"/>
        <v>2024</v>
      </c>
      <c r="C174" t="str">
        <f t="shared" si="5"/>
        <v>08</v>
      </c>
      <c r="D174" t="s">
        <v>1193</v>
      </c>
      <c r="E174" t="s">
        <v>1194</v>
      </c>
      <c r="F174" t="s">
        <v>1195</v>
      </c>
      <c r="G174" t="s">
        <v>356</v>
      </c>
      <c r="H174" t="s">
        <v>1196</v>
      </c>
      <c r="I174" t="s">
        <v>317</v>
      </c>
      <c r="J174" t="s">
        <v>1197</v>
      </c>
      <c r="K174" t="s">
        <v>208</v>
      </c>
      <c r="L174" t="s">
        <v>72</v>
      </c>
      <c r="M174" t="s">
        <v>128</v>
      </c>
      <c r="N174" t="s">
        <v>432</v>
      </c>
      <c r="O174" t="s">
        <v>106</v>
      </c>
      <c r="P174" t="s">
        <v>216</v>
      </c>
      <c r="Q174" t="s">
        <v>63</v>
      </c>
      <c r="R174" t="s">
        <v>171</v>
      </c>
      <c r="S174" t="s">
        <v>76</v>
      </c>
      <c r="T174" t="s">
        <v>51</v>
      </c>
      <c r="U174" t="s">
        <v>63</v>
      </c>
      <c r="V174" t="s">
        <v>52</v>
      </c>
      <c r="W174" t="s">
        <v>119</v>
      </c>
      <c r="X174" t="s">
        <v>216</v>
      </c>
      <c r="Y174">
        <v>0</v>
      </c>
      <c r="Z174">
        <v>0</v>
      </c>
      <c r="AA174" t="s">
        <v>120</v>
      </c>
      <c r="AB174" t="s">
        <v>171</v>
      </c>
      <c r="AC174" t="s">
        <v>216</v>
      </c>
      <c r="AD174">
        <v>0</v>
      </c>
      <c r="AE174" t="s">
        <v>216</v>
      </c>
      <c r="AF174">
        <v>0</v>
      </c>
      <c r="AG174">
        <v>0</v>
      </c>
      <c r="AH174">
        <v>0</v>
      </c>
      <c r="AI174">
        <v>0</v>
      </c>
      <c r="AJ174">
        <v>0</v>
      </c>
      <c r="AK174" t="s">
        <v>52</v>
      </c>
    </row>
    <row r="175" spans="1:37" x14ac:dyDescent="0.25">
      <c r="A175" t="s">
        <v>1198</v>
      </c>
      <c r="B175" t="str">
        <f t="shared" si="4"/>
        <v>2024</v>
      </c>
      <c r="C175" t="str">
        <f t="shared" si="5"/>
        <v>09</v>
      </c>
      <c r="D175" t="s">
        <v>1199</v>
      </c>
      <c r="E175" t="s">
        <v>1200</v>
      </c>
      <c r="F175" t="s">
        <v>1201</v>
      </c>
      <c r="G175" t="s">
        <v>1202</v>
      </c>
      <c r="H175" t="s">
        <v>665</v>
      </c>
      <c r="I175" t="s">
        <v>317</v>
      </c>
      <c r="J175" t="s">
        <v>788</v>
      </c>
      <c r="K175" t="s">
        <v>660</v>
      </c>
      <c r="L175" t="s">
        <v>62</v>
      </c>
      <c r="M175" t="s">
        <v>128</v>
      </c>
      <c r="N175" t="s">
        <v>248</v>
      </c>
      <c r="O175" t="s">
        <v>152</v>
      </c>
      <c r="P175" t="s">
        <v>216</v>
      </c>
      <c r="Q175" t="s">
        <v>63</v>
      </c>
      <c r="R175" t="s">
        <v>171</v>
      </c>
      <c r="S175" t="s">
        <v>56</v>
      </c>
      <c r="T175" t="s">
        <v>75</v>
      </c>
      <c r="U175">
        <v>0</v>
      </c>
      <c r="V175" t="s">
        <v>52</v>
      </c>
      <c r="W175" t="s">
        <v>171</v>
      </c>
      <c r="X175" t="s">
        <v>216</v>
      </c>
      <c r="Y175">
        <v>0</v>
      </c>
      <c r="Z175">
        <v>0</v>
      </c>
      <c r="AA175" t="s">
        <v>73</v>
      </c>
      <c r="AB175" t="s">
        <v>171</v>
      </c>
      <c r="AC175" t="s">
        <v>171</v>
      </c>
      <c r="AD175">
        <v>0</v>
      </c>
      <c r="AE175" t="s">
        <v>216</v>
      </c>
      <c r="AF175">
        <v>0</v>
      </c>
      <c r="AG175">
        <v>0</v>
      </c>
      <c r="AH175">
        <v>0</v>
      </c>
      <c r="AI175">
        <v>0</v>
      </c>
      <c r="AJ175">
        <v>0</v>
      </c>
      <c r="AK175" t="s">
        <v>52</v>
      </c>
    </row>
    <row r="176" spans="1:37" x14ac:dyDescent="0.25">
      <c r="A176" t="s">
        <v>1203</v>
      </c>
      <c r="B176" t="str">
        <f t="shared" si="4"/>
        <v>2024</v>
      </c>
      <c r="C176" t="str">
        <f t="shared" si="5"/>
        <v>10</v>
      </c>
      <c r="D176" t="s">
        <v>1204</v>
      </c>
      <c r="E176" t="s">
        <v>1205</v>
      </c>
      <c r="F176" t="s">
        <v>1206</v>
      </c>
      <c r="G176" t="s">
        <v>1207</v>
      </c>
      <c r="H176" t="s">
        <v>1208</v>
      </c>
      <c r="I176" t="s">
        <v>241</v>
      </c>
      <c r="J176" t="s">
        <v>1209</v>
      </c>
      <c r="K176" t="s">
        <v>806</v>
      </c>
      <c r="L176" t="s">
        <v>286</v>
      </c>
      <c r="M176" t="s">
        <v>128</v>
      </c>
      <c r="N176" t="s">
        <v>177</v>
      </c>
      <c r="O176" t="s">
        <v>53</v>
      </c>
      <c r="P176" t="s">
        <v>216</v>
      </c>
      <c r="Q176" t="s">
        <v>63</v>
      </c>
      <c r="R176" t="s">
        <v>171</v>
      </c>
      <c r="S176" t="s">
        <v>103</v>
      </c>
      <c r="T176" t="s">
        <v>40</v>
      </c>
      <c r="U176" t="s">
        <v>63</v>
      </c>
      <c r="V176" t="s">
        <v>52</v>
      </c>
      <c r="W176" t="s">
        <v>119</v>
      </c>
      <c r="X176" t="s">
        <v>216</v>
      </c>
      <c r="Y176">
        <v>0</v>
      </c>
      <c r="Z176">
        <v>0</v>
      </c>
      <c r="AA176" t="s">
        <v>91</v>
      </c>
      <c r="AB176" t="s">
        <v>119</v>
      </c>
      <c r="AC176" t="s">
        <v>216</v>
      </c>
      <c r="AD176">
        <v>0</v>
      </c>
      <c r="AE176" t="s">
        <v>216</v>
      </c>
      <c r="AF176">
        <v>0</v>
      </c>
      <c r="AG176">
        <v>0</v>
      </c>
      <c r="AH176" t="s">
        <v>63</v>
      </c>
      <c r="AI176">
        <v>0</v>
      </c>
      <c r="AJ176">
        <v>0</v>
      </c>
      <c r="AK176" t="s">
        <v>113</v>
      </c>
    </row>
    <row r="177" spans="1:37" x14ac:dyDescent="0.25">
      <c r="A177" t="s">
        <v>1210</v>
      </c>
      <c r="B177" t="str">
        <f t="shared" si="4"/>
        <v>2024</v>
      </c>
      <c r="C177" t="str">
        <f t="shared" si="5"/>
        <v>11</v>
      </c>
      <c r="D177" t="s">
        <v>1211</v>
      </c>
      <c r="E177" t="s">
        <v>1212</v>
      </c>
      <c r="F177" t="s">
        <v>1213</v>
      </c>
      <c r="G177" t="s">
        <v>1214</v>
      </c>
      <c r="H177" t="s">
        <v>1215</v>
      </c>
      <c r="I177" t="s">
        <v>90</v>
      </c>
      <c r="J177" t="s">
        <v>1151</v>
      </c>
      <c r="K177" t="s">
        <v>578</v>
      </c>
      <c r="L177" t="s">
        <v>241</v>
      </c>
      <c r="M177" t="s">
        <v>128</v>
      </c>
      <c r="N177" t="s">
        <v>226</v>
      </c>
      <c r="O177" t="s">
        <v>152</v>
      </c>
      <c r="P177" t="s">
        <v>188</v>
      </c>
      <c r="Q177" t="s">
        <v>63</v>
      </c>
      <c r="R177" t="s">
        <v>216</v>
      </c>
      <c r="S177" t="s">
        <v>76</v>
      </c>
      <c r="T177" t="s">
        <v>75</v>
      </c>
      <c r="U177" t="s">
        <v>63</v>
      </c>
      <c r="V177" t="s">
        <v>52</v>
      </c>
      <c r="W177" t="s">
        <v>119</v>
      </c>
      <c r="X177" t="s">
        <v>216</v>
      </c>
      <c r="Y177">
        <v>0</v>
      </c>
      <c r="Z177">
        <v>0</v>
      </c>
      <c r="AA177" t="s">
        <v>91</v>
      </c>
      <c r="AB177" t="s">
        <v>171</v>
      </c>
      <c r="AC177" t="s">
        <v>171</v>
      </c>
      <c r="AD177">
        <v>0</v>
      </c>
      <c r="AE177" t="s">
        <v>171</v>
      </c>
      <c r="AF177">
        <v>0</v>
      </c>
      <c r="AG177">
        <v>0</v>
      </c>
      <c r="AH177">
        <v>0</v>
      </c>
      <c r="AI177">
        <v>0</v>
      </c>
      <c r="AJ177">
        <v>0</v>
      </c>
      <c r="AK177" t="s">
        <v>113</v>
      </c>
    </row>
    <row r="178" spans="1:37" x14ac:dyDescent="0.25">
      <c r="A178" t="s">
        <v>1216</v>
      </c>
      <c r="B178" t="str">
        <f t="shared" si="4"/>
        <v>2024</v>
      </c>
      <c r="C178" t="str">
        <f t="shared" si="5"/>
        <v>12</v>
      </c>
      <c r="D178" t="s">
        <v>1217</v>
      </c>
      <c r="E178" t="s">
        <v>709</v>
      </c>
      <c r="F178" t="s">
        <v>1218</v>
      </c>
      <c r="G178" t="s">
        <v>1219</v>
      </c>
      <c r="H178" t="s">
        <v>775</v>
      </c>
      <c r="I178" t="s">
        <v>40</v>
      </c>
      <c r="J178" t="s">
        <v>100</v>
      </c>
      <c r="K178" t="s">
        <v>264</v>
      </c>
      <c r="L178" t="s">
        <v>45</v>
      </c>
      <c r="M178" t="s">
        <v>104</v>
      </c>
      <c r="N178" t="s">
        <v>424</v>
      </c>
      <c r="O178" t="s">
        <v>91</v>
      </c>
      <c r="P178" t="s">
        <v>216</v>
      </c>
      <c r="Q178" t="s">
        <v>63</v>
      </c>
      <c r="R178" t="s">
        <v>216</v>
      </c>
      <c r="S178" t="s">
        <v>103</v>
      </c>
      <c r="T178" t="s">
        <v>40</v>
      </c>
      <c r="U178" t="s">
        <v>63</v>
      </c>
      <c r="V178" t="s">
        <v>52</v>
      </c>
      <c r="W178" t="s">
        <v>119</v>
      </c>
      <c r="X178" t="s">
        <v>216</v>
      </c>
      <c r="Y178">
        <v>0</v>
      </c>
      <c r="Z178">
        <v>0</v>
      </c>
      <c r="AA178" t="s">
        <v>91</v>
      </c>
      <c r="AB178" t="s">
        <v>119</v>
      </c>
      <c r="AC178" t="s">
        <v>171</v>
      </c>
      <c r="AD178">
        <v>0</v>
      </c>
      <c r="AE178" t="s">
        <v>171</v>
      </c>
      <c r="AF178">
        <v>0</v>
      </c>
      <c r="AG178">
        <v>0</v>
      </c>
      <c r="AH178" t="s">
        <v>63</v>
      </c>
      <c r="AI178">
        <v>0</v>
      </c>
      <c r="AJ178">
        <v>0</v>
      </c>
      <c r="AK178" t="s">
        <v>113</v>
      </c>
    </row>
    <row r="179" spans="1:37" x14ac:dyDescent="0.25">
      <c r="A179" t="s">
        <v>1220</v>
      </c>
      <c r="B179" t="str">
        <f t="shared" si="4"/>
        <v>2025</v>
      </c>
      <c r="C179" t="str">
        <f t="shared" si="5"/>
        <v>01</v>
      </c>
      <c r="D179" t="s">
        <v>1221</v>
      </c>
      <c r="E179" t="s">
        <v>1222</v>
      </c>
      <c r="F179" t="s">
        <v>1223</v>
      </c>
      <c r="G179" t="s">
        <v>1224</v>
      </c>
      <c r="H179" t="s">
        <v>1225</v>
      </c>
      <c r="I179" t="s">
        <v>126</v>
      </c>
      <c r="J179" t="s">
        <v>585</v>
      </c>
      <c r="K179" t="s">
        <v>517</v>
      </c>
      <c r="L179" t="s">
        <v>75</v>
      </c>
      <c r="M179" t="s">
        <v>128</v>
      </c>
      <c r="N179" t="s">
        <v>193</v>
      </c>
      <c r="O179" t="s">
        <v>152</v>
      </c>
      <c r="P179" t="s">
        <v>216</v>
      </c>
      <c r="Q179" t="s">
        <v>63</v>
      </c>
      <c r="R179" t="s">
        <v>216</v>
      </c>
      <c r="S179" t="s">
        <v>56</v>
      </c>
      <c r="T179" t="s">
        <v>90</v>
      </c>
      <c r="U179">
        <v>0</v>
      </c>
      <c r="V179" t="s">
        <v>52</v>
      </c>
      <c r="W179" t="s">
        <v>216</v>
      </c>
      <c r="X179" t="s">
        <v>188</v>
      </c>
      <c r="Y179">
        <v>0</v>
      </c>
      <c r="Z179">
        <v>0</v>
      </c>
      <c r="AA179" t="s">
        <v>91</v>
      </c>
      <c r="AB179" t="s">
        <v>119</v>
      </c>
      <c r="AC179" t="s">
        <v>171</v>
      </c>
      <c r="AD179">
        <v>0</v>
      </c>
      <c r="AE179" t="s">
        <v>119</v>
      </c>
      <c r="AF179">
        <v>0</v>
      </c>
      <c r="AG179">
        <v>0</v>
      </c>
      <c r="AH179">
        <v>0</v>
      </c>
      <c r="AI179">
        <v>0</v>
      </c>
      <c r="AJ179">
        <v>0</v>
      </c>
      <c r="AK179" t="s">
        <v>113</v>
      </c>
    </row>
    <row r="180" spans="1:37" x14ac:dyDescent="0.25">
      <c r="A180" t="s">
        <v>1226</v>
      </c>
      <c r="B180" t="str">
        <f t="shared" si="4"/>
        <v>2025</v>
      </c>
      <c r="C180" t="str">
        <f t="shared" si="5"/>
        <v>02</v>
      </c>
      <c r="D180" t="s">
        <v>1227</v>
      </c>
      <c r="E180" t="s">
        <v>1228</v>
      </c>
      <c r="F180" t="s">
        <v>1229</v>
      </c>
      <c r="G180" t="s">
        <v>1207</v>
      </c>
      <c r="H180" t="s">
        <v>857</v>
      </c>
      <c r="I180" t="s">
        <v>126</v>
      </c>
      <c r="J180" t="s">
        <v>587</v>
      </c>
      <c r="K180" t="s">
        <v>611</v>
      </c>
      <c r="L180" t="s">
        <v>40</v>
      </c>
      <c r="M180" t="s">
        <v>104</v>
      </c>
      <c r="N180" t="s">
        <v>369</v>
      </c>
      <c r="O180" t="s">
        <v>107</v>
      </c>
      <c r="P180" t="s">
        <v>216</v>
      </c>
      <c r="Q180" t="s">
        <v>63</v>
      </c>
      <c r="R180" t="s">
        <v>216</v>
      </c>
      <c r="S180" t="s">
        <v>378</v>
      </c>
      <c r="T180" t="s">
        <v>40</v>
      </c>
      <c r="U180">
        <v>0</v>
      </c>
      <c r="V180" t="s">
        <v>52</v>
      </c>
      <c r="W180" t="s">
        <v>216</v>
      </c>
      <c r="X180" t="s">
        <v>188</v>
      </c>
      <c r="Y180">
        <v>0</v>
      </c>
      <c r="Z180">
        <v>0</v>
      </c>
      <c r="AA180" t="s">
        <v>152</v>
      </c>
      <c r="AB180" t="s">
        <v>171</v>
      </c>
      <c r="AC180" t="s">
        <v>171</v>
      </c>
      <c r="AD180">
        <v>0</v>
      </c>
      <c r="AE180" t="s">
        <v>171</v>
      </c>
      <c r="AF180">
        <v>0</v>
      </c>
      <c r="AG180">
        <v>0</v>
      </c>
      <c r="AH180">
        <v>0</v>
      </c>
      <c r="AI180">
        <v>0</v>
      </c>
      <c r="AJ180">
        <v>0</v>
      </c>
      <c r="AK180" t="s">
        <v>113</v>
      </c>
    </row>
    <row r="181" spans="1:37" x14ac:dyDescent="0.25">
      <c r="A181" t="s">
        <v>1230</v>
      </c>
      <c r="B181" t="str">
        <f t="shared" si="4"/>
        <v>2025</v>
      </c>
      <c r="C181" t="str">
        <f t="shared" si="5"/>
        <v>03</v>
      </c>
      <c r="D181" t="s">
        <v>1231</v>
      </c>
      <c r="E181" t="s">
        <v>1232</v>
      </c>
      <c r="F181" t="s">
        <v>1233</v>
      </c>
      <c r="G181" t="s">
        <v>1234</v>
      </c>
      <c r="H181" t="s">
        <v>1235</v>
      </c>
      <c r="I181" t="s">
        <v>56</v>
      </c>
      <c r="J181" t="s">
        <v>777</v>
      </c>
      <c r="K181" t="s">
        <v>368</v>
      </c>
      <c r="L181" t="s">
        <v>103</v>
      </c>
      <c r="M181" t="s">
        <v>104</v>
      </c>
      <c r="N181" t="s">
        <v>435</v>
      </c>
      <c r="O181" t="s">
        <v>73</v>
      </c>
      <c r="P181" t="s">
        <v>216</v>
      </c>
      <c r="Q181" t="s">
        <v>63</v>
      </c>
      <c r="R181" t="s">
        <v>188</v>
      </c>
      <c r="S181" t="s">
        <v>134</v>
      </c>
      <c r="T181" t="s">
        <v>40</v>
      </c>
      <c r="U181">
        <v>0</v>
      </c>
      <c r="V181" t="s">
        <v>52</v>
      </c>
      <c r="W181" t="s">
        <v>216</v>
      </c>
      <c r="X181" t="s">
        <v>188</v>
      </c>
      <c r="Y181">
        <v>0</v>
      </c>
      <c r="Z181">
        <v>0</v>
      </c>
      <c r="AA181" t="s">
        <v>53</v>
      </c>
      <c r="AB181" t="s">
        <v>216</v>
      </c>
      <c r="AC181" t="s">
        <v>171</v>
      </c>
      <c r="AD181">
        <v>0</v>
      </c>
      <c r="AE181" t="s">
        <v>171</v>
      </c>
      <c r="AF181">
        <v>0</v>
      </c>
      <c r="AG181">
        <v>0</v>
      </c>
      <c r="AH181">
        <v>0</v>
      </c>
      <c r="AI181">
        <v>0</v>
      </c>
      <c r="AJ181">
        <v>0</v>
      </c>
      <c r="AK181" t="s">
        <v>113</v>
      </c>
    </row>
    <row r="182" spans="1:37" x14ac:dyDescent="0.25">
      <c r="A182" t="s">
        <v>1236</v>
      </c>
      <c r="B182" t="str">
        <f t="shared" si="4"/>
        <v>2025</v>
      </c>
      <c r="C182" t="str">
        <f t="shared" si="5"/>
        <v>04</v>
      </c>
      <c r="D182" t="s">
        <v>1237</v>
      </c>
      <c r="E182" t="s">
        <v>1238</v>
      </c>
      <c r="F182" t="s">
        <v>1239</v>
      </c>
      <c r="G182" t="s">
        <v>348</v>
      </c>
      <c r="H182" t="s">
        <v>879</v>
      </c>
      <c r="I182" t="s">
        <v>56</v>
      </c>
      <c r="J182" t="s">
        <v>812</v>
      </c>
      <c r="K182" t="s">
        <v>517</v>
      </c>
      <c r="L182" t="s">
        <v>103</v>
      </c>
      <c r="M182" t="s">
        <v>104</v>
      </c>
      <c r="N182" t="s">
        <v>44</v>
      </c>
      <c r="O182" t="s">
        <v>73</v>
      </c>
      <c r="P182" t="s">
        <v>216</v>
      </c>
      <c r="Q182" t="s">
        <v>63</v>
      </c>
      <c r="R182" t="s">
        <v>188</v>
      </c>
      <c r="S182" t="s">
        <v>44</v>
      </c>
      <c r="T182" t="s">
        <v>75</v>
      </c>
      <c r="U182">
        <v>0</v>
      </c>
      <c r="V182" t="s">
        <v>52</v>
      </c>
      <c r="W182" t="s">
        <v>171</v>
      </c>
      <c r="X182" t="s">
        <v>188</v>
      </c>
      <c r="Y182">
        <v>0</v>
      </c>
      <c r="Z182">
        <v>0</v>
      </c>
      <c r="AA182" t="s">
        <v>53</v>
      </c>
      <c r="AB182" t="s">
        <v>216</v>
      </c>
      <c r="AC182" t="s">
        <v>171</v>
      </c>
      <c r="AD182">
        <v>0</v>
      </c>
      <c r="AE182" t="s">
        <v>171</v>
      </c>
      <c r="AF182">
        <v>0</v>
      </c>
      <c r="AG182">
        <v>0</v>
      </c>
      <c r="AH182">
        <v>0</v>
      </c>
      <c r="AI182">
        <v>0</v>
      </c>
      <c r="AJ182">
        <v>0</v>
      </c>
      <c r="AK182" t="s">
        <v>113</v>
      </c>
    </row>
    <row r="183" spans="1:37" x14ac:dyDescent="0.25">
      <c r="A183" t="s">
        <v>1240</v>
      </c>
      <c r="B183" t="str">
        <f t="shared" si="4"/>
        <v>2025</v>
      </c>
      <c r="C183" t="str">
        <f t="shared" si="5"/>
        <v>05</v>
      </c>
      <c r="D183" t="s">
        <v>608</v>
      </c>
      <c r="E183" t="s">
        <v>1241</v>
      </c>
      <c r="F183" t="s">
        <v>1242</v>
      </c>
      <c r="G183" t="s">
        <v>1243</v>
      </c>
      <c r="H183" t="s">
        <v>1244</v>
      </c>
      <c r="I183" t="s">
        <v>56</v>
      </c>
      <c r="J183" t="s">
        <v>658</v>
      </c>
      <c r="K183" t="s">
        <v>718</v>
      </c>
      <c r="L183" t="s">
        <v>103</v>
      </c>
      <c r="M183" t="s">
        <v>64</v>
      </c>
      <c r="N183" t="s">
        <v>44</v>
      </c>
      <c r="O183" t="s">
        <v>73</v>
      </c>
      <c r="P183" t="s">
        <v>188</v>
      </c>
      <c r="Q183" t="s">
        <v>63</v>
      </c>
      <c r="R183" t="s">
        <v>188</v>
      </c>
      <c r="S183" t="s">
        <v>224</v>
      </c>
      <c r="T183" t="s">
        <v>75</v>
      </c>
      <c r="U183">
        <v>0</v>
      </c>
      <c r="V183" t="s">
        <v>188</v>
      </c>
      <c r="W183" t="s">
        <v>171</v>
      </c>
      <c r="X183" t="s">
        <v>188</v>
      </c>
      <c r="Y183">
        <v>0</v>
      </c>
      <c r="Z183">
        <v>0</v>
      </c>
      <c r="AA183" t="s">
        <v>66</v>
      </c>
      <c r="AB183" t="s">
        <v>171</v>
      </c>
      <c r="AC183" t="s">
        <v>171</v>
      </c>
      <c r="AD183">
        <v>0</v>
      </c>
      <c r="AE183" t="s">
        <v>171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113</v>
      </c>
    </row>
    <row r="184" spans="1:37" x14ac:dyDescent="0.25">
      <c r="A184" t="s">
        <v>1245</v>
      </c>
      <c r="B184" t="str">
        <f t="shared" si="4"/>
        <v>2025</v>
      </c>
      <c r="C184" t="str">
        <f t="shared" si="5"/>
        <v>06</v>
      </c>
      <c r="D184" t="s">
        <v>1246</v>
      </c>
      <c r="E184" t="s">
        <v>522</v>
      </c>
      <c r="F184" t="s">
        <v>1247</v>
      </c>
      <c r="G184" t="s">
        <v>1248</v>
      </c>
      <c r="H184" t="s">
        <v>204</v>
      </c>
      <c r="I184" t="s">
        <v>134</v>
      </c>
      <c r="J184" t="s">
        <v>85</v>
      </c>
      <c r="K184" t="s">
        <v>611</v>
      </c>
      <c r="L184" t="s">
        <v>126</v>
      </c>
      <c r="M184" t="s">
        <v>64</v>
      </c>
      <c r="N184" t="s">
        <v>55</v>
      </c>
      <c r="O184" t="s">
        <v>73</v>
      </c>
      <c r="P184" t="s">
        <v>188</v>
      </c>
      <c r="Q184" t="s">
        <v>63</v>
      </c>
      <c r="R184" t="s">
        <v>188</v>
      </c>
      <c r="S184" t="s">
        <v>44</v>
      </c>
      <c r="T184" t="s">
        <v>75</v>
      </c>
      <c r="U184">
        <v>0</v>
      </c>
      <c r="V184" t="s">
        <v>188</v>
      </c>
      <c r="W184" t="s">
        <v>171</v>
      </c>
      <c r="X184" t="s">
        <v>188</v>
      </c>
      <c r="Y184">
        <v>0</v>
      </c>
      <c r="Z184">
        <v>0</v>
      </c>
      <c r="AA184" t="s">
        <v>53</v>
      </c>
      <c r="AB184" t="s">
        <v>216</v>
      </c>
      <c r="AC184" t="s">
        <v>119</v>
      </c>
      <c r="AD184">
        <v>0</v>
      </c>
      <c r="AE184" t="s">
        <v>171</v>
      </c>
      <c r="AF184">
        <v>0</v>
      </c>
      <c r="AG184">
        <v>0</v>
      </c>
      <c r="AH184">
        <v>0</v>
      </c>
      <c r="AI184" t="s">
        <v>63</v>
      </c>
      <c r="AJ184">
        <v>0</v>
      </c>
      <c r="AK184" t="s">
        <v>113</v>
      </c>
    </row>
    <row r="185" spans="1:37" x14ac:dyDescent="0.25">
      <c r="A185" t="s">
        <v>1249</v>
      </c>
      <c r="B185" t="str">
        <f t="shared" si="4"/>
        <v>2025</v>
      </c>
      <c r="C185" t="str">
        <f t="shared" si="5"/>
        <v>07</v>
      </c>
      <c r="D185" t="s">
        <v>1250</v>
      </c>
      <c r="E185" t="s">
        <v>1251</v>
      </c>
      <c r="F185" t="s">
        <v>1252</v>
      </c>
      <c r="G185" t="s">
        <v>1253</v>
      </c>
      <c r="H185" t="s">
        <v>1254</v>
      </c>
      <c r="I185" t="s">
        <v>134</v>
      </c>
      <c r="J185" t="s">
        <v>1112</v>
      </c>
      <c r="K185" t="s">
        <v>596</v>
      </c>
      <c r="L185" t="s">
        <v>76</v>
      </c>
      <c r="M185" t="s">
        <v>104</v>
      </c>
      <c r="N185" t="s">
        <v>300</v>
      </c>
      <c r="O185" t="s">
        <v>107</v>
      </c>
      <c r="P185" t="s">
        <v>188</v>
      </c>
      <c r="Q185" t="s">
        <v>63</v>
      </c>
      <c r="R185" t="s">
        <v>188</v>
      </c>
      <c r="S185" t="s">
        <v>195</v>
      </c>
      <c r="T185" t="s">
        <v>51</v>
      </c>
      <c r="U185">
        <v>0</v>
      </c>
      <c r="V185" t="s">
        <v>216</v>
      </c>
      <c r="W185" t="s">
        <v>216</v>
      </c>
      <c r="X185" t="s">
        <v>52</v>
      </c>
      <c r="Y185">
        <v>0</v>
      </c>
      <c r="Z185">
        <v>0</v>
      </c>
      <c r="AA185" t="s">
        <v>378</v>
      </c>
      <c r="AB185" t="s">
        <v>171</v>
      </c>
      <c r="AC185" t="s">
        <v>119</v>
      </c>
      <c r="AD185">
        <v>0</v>
      </c>
      <c r="AE185" t="s">
        <v>171</v>
      </c>
      <c r="AF185">
        <v>0</v>
      </c>
      <c r="AG185" t="s">
        <v>63</v>
      </c>
      <c r="AH185">
        <v>0</v>
      </c>
      <c r="AI185">
        <v>0</v>
      </c>
      <c r="AJ185">
        <v>0</v>
      </c>
      <c r="AK185" t="s">
        <v>113</v>
      </c>
    </row>
    <row r="186" spans="1:37" x14ac:dyDescent="0.25">
      <c r="A186" t="s">
        <v>1255</v>
      </c>
      <c r="B186" t="str">
        <f t="shared" si="4"/>
        <v>2025</v>
      </c>
      <c r="C186" t="str">
        <f t="shared" si="5"/>
        <v>08</v>
      </c>
      <c r="D186" t="s">
        <v>1256</v>
      </c>
      <c r="E186" t="s">
        <v>1257</v>
      </c>
      <c r="F186" t="s">
        <v>1258</v>
      </c>
      <c r="G186" t="s">
        <v>1259</v>
      </c>
      <c r="H186" t="s">
        <v>1260</v>
      </c>
      <c r="I186" t="s">
        <v>134</v>
      </c>
      <c r="J186" t="s">
        <v>926</v>
      </c>
      <c r="K186" t="s">
        <v>401</v>
      </c>
      <c r="L186" t="s">
        <v>103</v>
      </c>
      <c r="M186" t="s">
        <v>88</v>
      </c>
      <c r="N186" t="s">
        <v>300</v>
      </c>
      <c r="O186" t="s">
        <v>91</v>
      </c>
      <c r="P186" t="s">
        <v>216</v>
      </c>
      <c r="Q186" t="s">
        <v>63</v>
      </c>
      <c r="R186" t="s">
        <v>216</v>
      </c>
      <c r="S186" t="s">
        <v>432</v>
      </c>
      <c r="T186" t="s">
        <v>51</v>
      </c>
      <c r="U186">
        <v>0</v>
      </c>
      <c r="V186" t="s">
        <v>216</v>
      </c>
      <c r="W186" t="s">
        <v>216</v>
      </c>
      <c r="X186" t="s">
        <v>52</v>
      </c>
      <c r="Y186">
        <v>0</v>
      </c>
      <c r="Z186">
        <v>0</v>
      </c>
      <c r="AA186" t="s">
        <v>42</v>
      </c>
      <c r="AB186" t="s">
        <v>119</v>
      </c>
      <c r="AC186" t="s">
        <v>41</v>
      </c>
      <c r="AD186">
        <v>0</v>
      </c>
      <c r="AE186" t="s">
        <v>119</v>
      </c>
      <c r="AF186">
        <v>0</v>
      </c>
      <c r="AG186">
        <v>0</v>
      </c>
      <c r="AH186">
        <v>0</v>
      </c>
      <c r="AI186">
        <v>0</v>
      </c>
      <c r="AJ186">
        <v>0</v>
      </c>
      <c r="AK186" t="s">
        <v>52</v>
      </c>
    </row>
    <row r="187" spans="1:37" x14ac:dyDescent="0.25">
      <c r="A187" t="s">
        <v>1261</v>
      </c>
      <c r="B187" t="str">
        <f t="shared" si="4"/>
        <v>2025</v>
      </c>
      <c r="C187" t="str">
        <f t="shared" si="5"/>
        <v>09</v>
      </c>
      <c r="D187" t="s">
        <v>1221</v>
      </c>
      <c r="E187" t="s">
        <v>463</v>
      </c>
      <c r="F187" t="s">
        <v>1262</v>
      </c>
      <c r="G187" t="s">
        <v>1263</v>
      </c>
      <c r="H187" t="s">
        <v>1260</v>
      </c>
      <c r="I187" t="s">
        <v>134</v>
      </c>
      <c r="J187" t="s">
        <v>512</v>
      </c>
      <c r="K187" t="s">
        <v>851</v>
      </c>
      <c r="L187" t="s">
        <v>76</v>
      </c>
      <c r="M187" t="s">
        <v>73</v>
      </c>
      <c r="N187" t="s">
        <v>316</v>
      </c>
      <c r="O187" t="s">
        <v>91</v>
      </c>
      <c r="P187" t="s">
        <v>216</v>
      </c>
      <c r="Q187" t="s">
        <v>63</v>
      </c>
      <c r="R187" t="s">
        <v>188</v>
      </c>
      <c r="S187" t="s">
        <v>233</v>
      </c>
      <c r="T187" t="s">
        <v>51</v>
      </c>
      <c r="U187">
        <v>0</v>
      </c>
      <c r="V187" t="s">
        <v>216</v>
      </c>
      <c r="W187" t="s">
        <v>216</v>
      </c>
      <c r="X187" t="s">
        <v>52</v>
      </c>
      <c r="Y187">
        <v>0</v>
      </c>
      <c r="Z187">
        <v>0</v>
      </c>
      <c r="AA187" t="s">
        <v>103</v>
      </c>
      <c r="AB187" t="s">
        <v>119</v>
      </c>
      <c r="AC187" t="s">
        <v>119</v>
      </c>
      <c r="AD187">
        <v>0</v>
      </c>
      <c r="AE187" t="s">
        <v>119</v>
      </c>
      <c r="AF187">
        <v>0</v>
      </c>
      <c r="AG187">
        <v>0</v>
      </c>
      <c r="AH187" t="s">
        <v>63</v>
      </c>
      <c r="AI187" t="s">
        <v>63</v>
      </c>
      <c r="AJ187">
        <v>0</v>
      </c>
      <c r="AK187" t="s">
        <v>113</v>
      </c>
    </row>
    <row r="188" spans="1:37" x14ac:dyDescent="0.25">
      <c r="A188" t="s">
        <v>1264</v>
      </c>
      <c r="B188" t="str">
        <f t="shared" si="4"/>
        <v>2025</v>
      </c>
      <c r="C188" t="str">
        <f t="shared" si="5"/>
        <v>10</v>
      </c>
      <c r="D188" t="s">
        <v>1265</v>
      </c>
      <c r="E188" t="s">
        <v>1266</v>
      </c>
      <c r="F188" t="s">
        <v>1267</v>
      </c>
      <c r="G188" t="s">
        <v>1214</v>
      </c>
      <c r="H188" t="s">
        <v>1268</v>
      </c>
      <c r="I188" t="s">
        <v>134</v>
      </c>
      <c r="J188" t="s">
        <v>426</v>
      </c>
      <c r="K188" t="s">
        <v>1269</v>
      </c>
      <c r="L188" t="s">
        <v>75</v>
      </c>
      <c r="M188" t="s">
        <v>107</v>
      </c>
      <c r="N188" t="s">
        <v>317</v>
      </c>
      <c r="O188" t="s">
        <v>107</v>
      </c>
      <c r="P188" t="s">
        <v>216</v>
      </c>
      <c r="Q188" t="s">
        <v>63</v>
      </c>
      <c r="R188" t="s">
        <v>216</v>
      </c>
      <c r="S188" t="s">
        <v>732</v>
      </c>
      <c r="T188" t="s">
        <v>51</v>
      </c>
      <c r="U188">
        <v>0</v>
      </c>
      <c r="V188" t="s">
        <v>216</v>
      </c>
      <c r="W188" t="s">
        <v>216</v>
      </c>
      <c r="X188" t="s">
        <v>52</v>
      </c>
      <c r="Y188">
        <v>0</v>
      </c>
      <c r="Z188">
        <v>0</v>
      </c>
      <c r="AA188" t="s">
        <v>51</v>
      </c>
      <c r="AB188" t="s">
        <v>41</v>
      </c>
      <c r="AC188" t="s">
        <v>120</v>
      </c>
      <c r="AD188">
        <v>0</v>
      </c>
      <c r="AE188" t="s">
        <v>119</v>
      </c>
      <c r="AF188">
        <v>0</v>
      </c>
      <c r="AG188">
        <v>0</v>
      </c>
      <c r="AH188" t="s">
        <v>63</v>
      </c>
      <c r="AI188" t="s">
        <v>63</v>
      </c>
      <c r="AJ188">
        <v>0</v>
      </c>
      <c r="AK188" t="s">
        <v>52</v>
      </c>
    </row>
    <row r="189" spans="1:37" x14ac:dyDescent="0.25">
      <c r="A189" t="s">
        <v>1270</v>
      </c>
      <c r="B189" t="str">
        <f t="shared" si="4"/>
        <v>2025</v>
      </c>
      <c r="C189" t="str">
        <f t="shared" si="5"/>
        <v>11</v>
      </c>
      <c r="D189" t="s">
        <v>1271</v>
      </c>
      <c r="E189" t="s">
        <v>1272</v>
      </c>
      <c r="F189" t="s">
        <v>1273</v>
      </c>
      <c r="G189" t="s">
        <v>1274</v>
      </c>
      <c r="H189" t="s">
        <v>1275</v>
      </c>
      <c r="I189" t="s">
        <v>378</v>
      </c>
      <c r="J189" t="s">
        <v>245</v>
      </c>
      <c r="K189" t="s">
        <v>164</v>
      </c>
      <c r="L189" t="s">
        <v>40</v>
      </c>
      <c r="M189" t="s">
        <v>73</v>
      </c>
      <c r="N189" t="s">
        <v>241</v>
      </c>
      <c r="O189" t="s">
        <v>107</v>
      </c>
      <c r="P189" t="s">
        <v>216</v>
      </c>
      <c r="Q189" t="s">
        <v>63</v>
      </c>
      <c r="R189" t="s">
        <v>216</v>
      </c>
      <c r="S189" t="s">
        <v>690</v>
      </c>
      <c r="T189" t="s">
        <v>40</v>
      </c>
      <c r="U189" t="s">
        <v>63</v>
      </c>
      <c r="V189" t="s">
        <v>171</v>
      </c>
      <c r="W189" t="s">
        <v>216</v>
      </c>
      <c r="X189" t="s">
        <v>52</v>
      </c>
      <c r="Y189">
        <v>0</v>
      </c>
      <c r="Z189">
        <v>0</v>
      </c>
      <c r="AA189" t="s">
        <v>51</v>
      </c>
      <c r="AB189" t="s">
        <v>41</v>
      </c>
      <c r="AC189" t="s">
        <v>41</v>
      </c>
      <c r="AD189">
        <v>0</v>
      </c>
      <c r="AE189" t="s">
        <v>119</v>
      </c>
      <c r="AF189">
        <v>0</v>
      </c>
      <c r="AG189" t="s">
        <v>63</v>
      </c>
      <c r="AH189" t="s">
        <v>63</v>
      </c>
      <c r="AI189" t="s">
        <v>63</v>
      </c>
      <c r="AJ189">
        <v>0</v>
      </c>
      <c r="AK189" t="s">
        <v>52</v>
      </c>
    </row>
    <row r="190" spans="1:37" x14ac:dyDescent="0.25">
      <c r="A190" t="s">
        <v>1276</v>
      </c>
      <c r="B190" t="str">
        <f t="shared" si="4"/>
        <v>2025</v>
      </c>
      <c r="C190" t="str">
        <f t="shared" si="5"/>
        <v>12</v>
      </c>
      <c r="D190" t="s">
        <v>1277</v>
      </c>
      <c r="E190" t="s">
        <v>1278</v>
      </c>
      <c r="F190" t="s">
        <v>1279</v>
      </c>
      <c r="G190" t="s">
        <v>1190</v>
      </c>
      <c r="H190" t="s">
        <v>1280</v>
      </c>
      <c r="I190" t="s">
        <v>106</v>
      </c>
      <c r="J190" t="s">
        <v>557</v>
      </c>
      <c r="K190" t="s">
        <v>194</v>
      </c>
      <c r="L190" t="s">
        <v>40</v>
      </c>
      <c r="M190" t="s">
        <v>88</v>
      </c>
      <c r="N190" t="s">
        <v>90</v>
      </c>
      <c r="O190" t="s">
        <v>107</v>
      </c>
      <c r="P190" t="s">
        <v>216</v>
      </c>
      <c r="Q190" t="s">
        <v>63</v>
      </c>
      <c r="R190" t="s">
        <v>188</v>
      </c>
      <c r="S190">
        <v>1</v>
      </c>
      <c r="T190" t="s">
        <v>51</v>
      </c>
      <c r="U190">
        <v>0</v>
      </c>
      <c r="V190" t="s">
        <v>119</v>
      </c>
      <c r="W190" t="s">
        <v>216</v>
      </c>
      <c r="X190" t="s">
        <v>52</v>
      </c>
      <c r="Y190">
        <v>0</v>
      </c>
      <c r="Z190">
        <v>0</v>
      </c>
      <c r="AA190" t="s">
        <v>103</v>
      </c>
      <c r="AB190" t="s">
        <v>41</v>
      </c>
      <c r="AC190" t="s">
        <v>41</v>
      </c>
      <c r="AD190">
        <v>0</v>
      </c>
      <c r="AE190" t="s">
        <v>119</v>
      </c>
      <c r="AF190">
        <v>0</v>
      </c>
      <c r="AG190">
        <v>0</v>
      </c>
      <c r="AH190">
        <v>0</v>
      </c>
      <c r="AI190" t="s">
        <v>63</v>
      </c>
      <c r="AJ190">
        <v>0</v>
      </c>
      <c r="AK190" t="s">
        <v>113</v>
      </c>
    </row>
    <row r="191" spans="1:37" x14ac:dyDescent="0.25">
      <c r="A191" t="s">
        <v>1281</v>
      </c>
      <c r="B191" t="str">
        <f t="shared" si="4"/>
        <v>2026</v>
      </c>
      <c r="C191" t="str">
        <f t="shared" si="5"/>
        <v>01</v>
      </c>
      <c r="D191" t="s">
        <v>1282</v>
      </c>
      <c r="E191" t="s">
        <v>1283</v>
      </c>
      <c r="F191" t="s">
        <v>1284</v>
      </c>
      <c r="G191" t="s">
        <v>1285</v>
      </c>
      <c r="H191" t="s">
        <v>733</v>
      </c>
      <c r="I191" t="s">
        <v>66</v>
      </c>
      <c r="J191" t="s">
        <v>416</v>
      </c>
      <c r="K191" t="s">
        <v>179</v>
      </c>
      <c r="L191" t="s">
        <v>51</v>
      </c>
      <c r="M191" t="s">
        <v>88</v>
      </c>
      <c r="N191" t="s">
        <v>40</v>
      </c>
      <c r="O191" t="s">
        <v>73</v>
      </c>
      <c r="P191" t="s">
        <v>216</v>
      </c>
      <c r="Q191" t="s">
        <v>63</v>
      </c>
      <c r="R191" t="s">
        <v>188</v>
      </c>
      <c r="S191" t="s">
        <v>255</v>
      </c>
      <c r="T191" t="s">
        <v>103</v>
      </c>
      <c r="U191">
        <v>0</v>
      </c>
      <c r="V191" t="s">
        <v>41</v>
      </c>
      <c r="W191" t="s">
        <v>216</v>
      </c>
      <c r="X191" t="s">
        <v>52</v>
      </c>
      <c r="Y191">
        <v>0</v>
      </c>
      <c r="Z191">
        <v>0</v>
      </c>
      <c r="AA191" t="s">
        <v>76</v>
      </c>
      <c r="AB191" t="s">
        <v>64</v>
      </c>
      <c r="AC191" t="s">
        <v>119</v>
      </c>
      <c r="AD191">
        <v>0</v>
      </c>
      <c r="AE191" t="s">
        <v>119</v>
      </c>
      <c r="AF191">
        <v>0</v>
      </c>
      <c r="AG191">
        <v>0</v>
      </c>
      <c r="AH191" t="s">
        <v>63</v>
      </c>
      <c r="AI191" t="s">
        <v>63</v>
      </c>
      <c r="AJ191">
        <v>0</v>
      </c>
      <c r="AK191" t="s">
        <v>113</v>
      </c>
    </row>
    <row r="192" spans="1:37" x14ac:dyDescent="0.25">
      <c r="A192" t="s">
        <v>1286</v>
      </c>
      <c r="B192" t="str">
        <f t="shared" si="4"/>
        <v>2026</v>
      </c>
      <c r="C192" t="str">
        <f t="shared" si="5"/>
        <v>02</v>
      </c>
      <c r="D192" t="s">
        <v>1287</v>
      </c>
      <c r="E192" t="s">
        <v>1288</v>
      </c>
      <c r="F192" t="s">
        <v>1289</v>
      </c>
      <c r="G192" t="s">
        <v>1290</v>
      </c>
      <c r="H192" t="s">
        <v>1291</v>
      </c>
      <c r="I192" t="s">
        <v>152</v>
      </c>
      <c r="J192" t="s">
        <v>515</v>
      </c>
      <c r="K192" t="s">
        <v>471</v>
      </c>
      <c r="L192" t="s">
        <v>56</v>
      </c>
      <c r="M192" t="s">
        <v>128</v>
      </c>
      <c r="N192" t="s">
        <v>75</v>
      </c>
      <c r="O192" t="s">
        <v>88</v>
      </c>
      <c r="P192" t="s">
        <v>188</v>
      </c>
      <c r="Q192" t="s">
        <v>63</v>
      </c>
      <c r="R192" t="s">
        <v>216</v>
      </c>
      <c r="S192" t="s">
        <v>300</v>
      </c>
      <c r="T192" t="s">
        <v>75</v>
      </c>
      <c r="U192">
        <v>0</v>
      </c>
      <c r="V192" t="s">
        <v>120</v>
      </c>
      <c r="W192" t="s">
        <v>188</v>
      </c>
      <c r="X192" t="s">
        <v>52</v>
      </c>
      <c r="Y192">
        <v>0</v>
      </c>
      <c r="Z192">
        <v>0</v>
      </c>
      <c r="AA192" t="s">
        <v>76</v>
      </c>
      <c r="AB192" t="s">
        <v>41</v>
      </c>
      <c r="AC192" t="s">
        <v>41</v>
      </c>
      <c r="AD192">
        <v>0</v>
      </c>
      <c r="AE192" t="s">
        <v>119</v>
      </c>
      <c r="AF192">
        <v>0</v>
      </c>
      <c r="AG192">
        <v>0</v>
      </c>
      <c r="AH192">
        <v>0</v>
      </c>
      <c r="AI192" t="s">
        <v>63</v>
      </c>
      <c r="AJ192">
        <v>0</v>
      </c>
      <c r="AK192" t="s">
        <v>113</v>
      </c>
    </row>
    <row r="193" spans="1:37" x14ac:dyDescent="0.25">
      <c r="A193" t="s">
        <v>1292</v>
      </c>
      <c r="B193" t="str">
        <f t="shared" si="4"/>
        <v>2026</v>
      </c>
      <c r="C193" t="str">
        <f t="shared" si="5"/>
        <v>03</v>
      </c>
      <c r="D193" t="s">
        <v>1293</v>
      </c>
      <c r="E193" t="s">
        <v>1294</v>
      </c>
      <c r="F193" t="s">
        <v>1295</v>
      </c>
      <c r="G193" t="s">
        <v>1285</v>
      </c>
      <c r="H193" t="s">
        <v>1291</v>
      </c>
      <c r="I193" t="s">
        <v>91</v>
      </c>
      <c r="J193" t="s">
        <v>416</v>
      </c>
      <c r="K193">
        <v>2</v>
      </c>
      <c r="L193" t="s">
        <v>76</v>
      </c>
      <c r="M193" t="s">
        <v>88</v>
      </c>
      <c r="N193" t="s">
        <v>51</v>
      </c>
      <c r="O193" t="s">
        <v>88</v>
      </c>
      <c r="P193" t="s">
        <v>188</v>
      </c>
      <c r="Q193" t="s">
        <v>63</v>
      </c>
      <c r="R193" t="s">
        <v>188</v>
      </c>
      <c r="S193" t="s">
        <v>207</v>
      </c>
      <c r="T193" t="s">
        <v>103</v>
      </c>
      <c r="U193">
        <v>0</v>
      </c>
      <c r="V193" t="s">
        <v>64</v>
      </c>
      <c r="W193" t="s">
        <v>188</v>
      </c>
      <c r="X193" t="s">
        <v>113</v>
      </c>
      <c r="Y193">
        <v>0</v>
      </c>
      <c r="Z193">
        <v>0</v>
      </c>
      <c r="AA193" t="s">
        <v>103</v>
      </c>
      <c r="AB193" t="s">
        <v>41</v>
      </c>
      <c r="AC193" t="s">
        <v>41</v>
      </c>
      <c r="AD193">
        <v>0</v>
      </c>
      <c r="AE193" t="s">
        <v>119</v>
      </c>
      <c r="AF193">
        <v>0</v>
      </c>
      <c r="AG193">
        <v>0</v>
      </c>
      <c r="AH193">
        <v>0</v>
      </c>
      <c r="AI193" t="s">
        <v>63</v>
      </c>
      <c r="AJ193">
        <v>0</v>
      </c>
      <c r="AK193" t="s">
        <v>113</v>
      </c>
    </row>
    <row r="194" spans="1:37" x14ac:dyDescent="0.25">
      <c r="A194" t="s">
        <v>1296</v>
      </c>
      <c r="B194" t="str">
        <f t="shared" si="4"/>
        <v>2026</v>
      </c>
      <c r="C194" t="str">
        <f t="shared" si="5"/>
        <v>04</v>
      </c>
      <c r="D194" t="s">
        <v>1297</v>
      </c>
      <c r="E194" t="s">
        <v>1298</v>
      </c>
      <c r="F194" t="s">
        <v>1299</v>
      </c>
      <c r="G194" t="s">
        <v>1300</v>
      </c>
      <c r="H194" t="s">
        <v>1301</v>
      </c>
      <c r="I194" t="s">
        <v>91</v>
      </c>
      <c r="J194" t="s">
        <v>572</v>
      </c>
      <c r="K194" t="s">
        <v>121</v>
      </c>
      <c r="L194" t="s">
        <v>106</v>
      </c>
      <c r="M194" t="s">
        <v>64</v>
      </c>
      <c r="N194" t="s">
        <v>103</v>
      </c>
      <c r="O194" t="s">
        <v>104</v>
      </c>
      <c r="P194" t="s">
        <v>188</v>
      </c>
      <c r="Q194" t="s">
        <v>63</v>
      </c>
      <c r="R194" t="s">
        <v>188</v>
      </c>
      <c r="S194" t="s">
        <v>317</v>
      </c>
      <c r="T194" t="s">
        <v>51</v>
      </c>
      <c r="U194">
        <v>0</v>
      </c>
      <c r="V194" t="s">
        <v>64</v>
      </c>
      <c r="W194" t="s">
        <v>216</v>
      </c>
      <c r="X194" t="s">
        <v>113</v>
      </c>
      <c r="Y194">
        <v>0</v>
      </c>
      <c r="Z194">
        <v>0</v>
      </c>
      <c r="AA194" t="s">
        <v>56</v>
      </c>
      <c r="AB194" t="s">
        <v>119</v>
      </c>
      <c r="AC194" t="s">
        <v>41</v>
      </c>
      <c r="AD194">
        <v>0</v>
      </c>
      <c r="AE194" t="s">
        <v>119</v>
      </c>
      <c r="AF194">
        <v>0</v>
      </c>
      <c r="AG194">
        <v>0</v>
      </c>
      <c r="AH194">
        <v>0</v>
      </c>
      <c r="AI194" t="s">
        <v>63</v>
      </c>
      <c r="AJ194">
        <v>0</v>
      </c>
      <c r="AK194" t="s">
        <v>113</v>
      </c>
    </row>
    <row r="195" spans="1:37" x14ac:dyDescent="0.25">
      <c r="A195" t="s">
        <v>1302</v>
      </c>
      <c r="B195" t="str">
        <f t="shared" ref="B195:B198" si="6">LEFT(A195,4)</f>
        <v>2026</v>
      </c>
      <c r="C195" t="str">
        <f t="shared" ref="C195:C198" si="7">RIGHT(A195,2)</f>
        <v>05</v>
      </c>
      <c r="D195" t="s">
        <v>1303</v>
      </c>
      <c r="E195" t="s">
        <v>1304</v>
      </c>
      <c r="F195" t="s">
        <v>1305</v>
      </c>
      <c r="G195" t="s">
        <v>1306</v>
      </c>
      <c r="H195" t="s">
        <v>857</v>
      </c>
      <c r="I195" t="s">
        <v>107</v>
      </c>
      <c r="J195" t="s">
        <v>479</v>
      </c>
      <c r="K195" t="s">
        <v>874</v>
      </c>
      <c r="L195" t="s">
        <v>106</v>
      </c>
      <c r="M195" t="s">
        <v>120</v>
      </c>
      <c r="N195" t="s">
        <v>76</v>
      </c>
      <c r="O195" t="s">
        <v>104</v>
      </c>
      <c r="P195" t="s">
        <v>52</v>
      </c>
      <c r="Q195" t="s">
        <v>63</v>
      </c>
      <c r="R195" t="s">
        <v>188</v>
      </c>
      <c r="S195" t="s">
        <v>350</v>
      </c>
      <c r="T195" t="s">
        <v>103</v>
      </c>
      <c r="U195">
        <v>0</v>
      </c>
      <c r="V195" t="s">
        <v>128</v>
      </c>
      <c r="W195" t="s">
        <v>216</v>
      </c>
      <c r="X195" t="s">
        <v>52</v>
      </c>
      <c r="Y195">
        <v>0</v>
      </c>
      <c r="Z195">
        <v>0</v>
      </c>
      <c r="AA195" t="s">
        <v>56</v>
      </c>
      <c r="AB195" t="s">
        <v>119</v>
      </c>
      <c r="AC195" t="s">
        <v>119</v>
      </c>
      <c r="AD195">
        <v>0</v>
      </c>
      <c r="AE195" t="s">
        <v>119</v>
      </c>
      <c r="AF195">
        <v>0</v>
      </c>
      <c r="AG195">
        <v>0</v>
      </c>
      <c r="AH195">
        <v>0</v>
      </c>
      <c r="AI195" t="s">
        <v>63</v>
      </c>
      <c r="AJ195">
        <v>0</v>
      </c>
      <c r="AK195" t="s">
        <v>113</v>
      </c>
    </row>
    <row r="196" spans="1:37" x14ac:dyDescent="0.25">
      <c r="A196" t="s">
        <v>1307</v>
      </c>
      <c r="B196" t="str">
        <f t="shared" si="6"/>
        <v>2026</v>
      </c>
      <c r="C196" t="str">
        <f t="shared" si="7"/>
        <v>06</v>
      </c>
      <c r="D196" t="s">
        <v>1308</v>
      </c>
      <c r="E196" t="s">
        <v>1309</v>
      </c>
      <c r="F196" t="s">
        <v>1310</v>
      </c>
      <c r="G196" t="s">
        <v>1285</v>
      </c>
      <c r="H196" t="s">
        <v>856</v>
      </c>
      <c r="I196" t="s">
        <v>91</v>
      </c>
      <c r="J196" t="s">
        <v>695</v>
      </c>
      <c r="K196" t="s">
        <v>179</v>
      </c>
      <c r="L196" t="s">
        <v>66</v>
      </c>
      <c r="M196" t="s">
        <v>120</v>
      </c>
      <c r="N196" t="s">
        <v>51</v>
      </c>
      <c r="O196" t="s">
        <v>64</v>
      </c>
      <c r="P196" t="s">
        <v>52</v>
      </c>
      <c r="Q196" t="s">
        <v>63</v>
      </c>
      <c r="R196" t="s">
        <v>188</v>
      </c>
      <c r="S196" t="s">
        <v>633</v>
      </c>
      <c r="T196" t="s">
        <v>76</v>
      </c>
      <c r="U196">
        <v>0</v>
      </c>
      <c r="V196" t="s">
        <v>107</v>
      </c>
      <c r="W196" t="s">
        <v>216</v>
      </c>
      <c r="X196" t="s">
        <v>113</v>
      </c>
      <c r="Y196">
        <v>0</v>
      </c>
      <c r="Z196">
        <v>0</v>
      </c>
      <c r="AA196" t="s">
        <v>42</v>
      </c>
      <c r="AB196" t="s">
        <v>171</v>
      </c>
      <c r="AC196" t="s">
        <v>119</v>
      </c>
      <c r="AD196">
        <v>0</v>
      </c>
      <c r="AE196" t="s">
        <v>119</v>
      </c>
      <c r="AF196">
        <v>0</v>
      </c>
      <c r="AG196">
        <v>0</v>
      </c>
      <c r="AH196">
        <v>0</v>
      </c>
      <c r="AI196" t="s">
        <v>63</v>
      </c>
      <c r="AJ196">
        <v>0</v>
      </c>
      <c r="AK196" t="s">
        <v>113</v>
      </c>
    </row>
    <row r="197" spans="1:37" x14ac:dyDescent="0.25">
      <c r="A197" t="s">
        <v>1311</v>
      </c>
      <c r="B197" t="str">
        <f t="shared" si="6"/>
        <v>2026</v>
      </c>
      <c r="C197" t="str">
        <f t="shared" si="7"/>
        <v>07</v>
      </c>
      <c r="D197" t="s">
        <v>797</v>
      </c>
      <c r="E197" t="s">
        <v>1312</v>
      </c>
      <c r="F197" t="s">
        <v>1313</v>
      </c>
      <c r="G197" t="s">
        <v>1314</v>
      </c>
      <c r="H197" t="s">
        <v>1315</v>
      </c>
      <c r="I197" t="s">
        <v>91</v>
      </c>
      <c r="J197" t="s">
        <v>770</v>
      </c>
      <c r="K197" t="s">
        <v>285</v>
      </c>
      <c r="L197" t="s">
        <v>152</v>
      </c>
      <c r="M197" t="s">
        <v>41</v>
      </c>
      <c r="N197" t="s">
        <v>103</v>
      </c>
      <c r="O197" t="s">
        <v>64</v>
      </c>
      <c r="P197" t="s">
        <v>52</v>
      </c>
      <c r="Q197">
        <v>0</v>
      </c>
      <c r="R197" t="s">
        <v>188</v>
      </c>
      <c r="S197" t="s">
        <v>66</v>
      </c>
      <c r="T197" t="s">
        <v>126</v>
      </c>
      <c r="U197">
        <v>0</v>
      </c>
      <c r="V197" t="s">
        <v>91</v>
      </c>
      <c r="W197" t="s">
        <v>171</v>
      </c>
      <c r="X197" t="s">
        <v>52</v>
      </c>
      <c r="Y197">
        <v>0</v>
      </c>
      <c r="Z197">
        <v>0</v>
      </c>
      <c r="AA197" t="s">
        <v>42</v>
      </c>
      <c r="AB197" t="s">
        <v>216</v>
      </c>
      <c r="AC197" t="s">
        <v>119</v>
      </c>
      <c r="AD197">
        <v>0</v>
      </c>
      <c r="AE197" t="s">
        <v>171</v>
      </c>
      <c r="AF197">
        <v>0</v>
      </c>
      <c r="AG197">
        <v>0</v>
      </c>
      <c r="AH197">
        <v>0</v>
      </c>
      <c r="AI197" t="s">
        <v>63</v>
      </c>
      <c r="AJ197">
        <v>0</v>
      </c>
      <c r="AK197" t="s">
        <v>113</v>
      </c>
    </row>
    <row r="198" spans="1:37" x14ac:dyDescent="0.25">
      <c r="A198" t="s">
        <v>1316</v>
      </c>
      <c r="B198" t="str">
        <f t="shared" si="6"/>
        <v>2010</v>
      </c>
      <c r="C198" t="str">
        <f t="shared" si="7"/>
        <v>03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hang_viet_nam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HuuThanh</dc:creator>
  <cp:lastModifiedBy>Thanh Huu</cp:lastModifiedBy>
  <dcterms:created xsi:type="dcterms:W3CDTF">2026-08-09T13:14:17Z</dcterms:created>
  <dcterms:modified xsi:type="dcterms:W3CDTF">2026-08-09T15:56:29Z</dcterms:modified>
</cp:coreProperties>
</file>